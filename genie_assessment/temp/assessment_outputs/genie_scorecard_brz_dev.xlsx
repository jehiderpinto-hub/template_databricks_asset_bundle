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xecutive Summary" sheetId="1" state="visible" r:id="rId1"/>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2F5597"/>
      <sz val="16"/>
    </font>
    <font>
      <i val="1"/>
      <color rgb="00595959"/>
      <sz val="11"/>
    </font>
    <font>
      <b val="1"/>
      <color rgb="00FFFFFF"/>
      <sz val="12"/>
    </font>
    <font>
      <b val="1"/>
    </font>
    <font>
      <b val="1"/>
      <color rgb="00FFFFFF"/>
      <sz val="11"/>
    </font>
    <font>
      <b val="1"/>
      <color rgb="00006100"/>
    </font>
  </fonts>
  <fills count="6">
    <fill>
      <patternFill/>
    </fill>
    <fill>
      <patternFill patternType="gray125"/>
    </fill>
    <fill>
      <patternFill patternType="solid">
        <fgColor rgb="002F5597"/>
      </patternFill>
    </fill>
    <fill>
      <patternFill patternType="solid">
        <fgColor rgb="00D9E1F2"/>
      </patternFill>
    </fill>
    <fill>
      <patternFill patternType="solid">
        <fgColor rgb="004472C4"/>
      </patternFill>
    </fill>
    <fill>
      <patternFill patternType="solid">
        <fgColor rgb="00C6EFCE"/>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left" vertical="center" wrapText="1"/>
    </xf>
    <xf numFmtId="0" fontId="4" fillId="3" borderId="1" pivotButton="0" quotePrefix="0" xfId="0"/>
    <xf numFmtId="0" fontId="0" fillId="0" borderId="1" pivotButton="0" quotePrefix="0" xfId="0"/>
    <xf numFmtId="0" fontId="5" fillId="4" borderId="1" applyAlignment="1" pivotButton="0" quotePrefix="0" xfId="0">
      <alignment horizontal="center" vertical="center" wrapText="1"/>
    </xf>
    <xf numFmtId="0" fontId="6" fillId="5" borderId="1" applyAlignment="1" pivotButton="0" quotePrefix="0" xfId="0">
      <alignment horizontal="center" vertical="center" wrapText="1"/>
    </xf>
    <xf numFmtId="0" fontId="0" fillId="0" borderId="1" applyAlignment="1" pivotButton="0" quotePrefix="0" xfId="0">
      <alignment horizontal="center" vertical="center" wrapText="1"/>
    </xf>
    <xf numFmtId="0" fontId="0" fillId="0" borderId="1" applyAlignment="1" pivotButton="0" quotePrefix="0" xfId="0">
      <alignment horizontal="left" vertical="center" wrapText="1"/>
    </xf>
    <xf numFmtId="0" fontId="4" fillId="0" borderId="1" applyAlignment="1" pivotButton="0" quotePrefix="0" xfId="0">
      <alignment horizontal="left" vertical="center" wrapText="1"/>
    </xf>
    <xf numFmtId="0" fontId="0" fillId="0" borderId="1" applyAlignment="1" pivotButton="0" quotePrefix="0" xfId="0">
      <alignment horizontal="left" vertical="top" wrapText="1"/>
    </xf>
    <xf numFmtId="0" fontId="4" fillId="0" borderId="1" applyAlignment="1" pivotButton="0" quotePrefix="0" xfId="0">
      <alignment horizontal="center" vertical="center" wrapText="1"/>
    </xf>
    <xf numFmtId="10" fontId="4" fillId="0" borderId="1" applyAlignment="1" pivotButton="0" quotePrefix="0" xfId="0">
      <alignment horizontal="center" vertical="center" wrapText="1"/>
    </xf>
    <xf numFmtId="0" fontId="4" fillId="0" borderId="1" applyAlignment="1" pivotButton="0" quotePrefix="0" xfId="0">
      <alignment horizontal="left" vertical="top" wrapText="1"/>
    </xf>
  </cellXfs>
  <cellStyles count="1">
    <cellStyle name="Normal" xfId="0" builtinId="0" hidden="0"/>
  </cellStyles>
  <dxfs count="3">
    <dxf>
      <font>
        <b val="1"/>
        <color rgb="00006100"/>
      </font>
      <fill>
        <patternFill patternType="solid">
          <fgColor rgb="00C6EFCE"/>
        </patternFill>
      </fill>
    </dxf>
    <dxf>
      <font>
        <b val="1"/>
        <color rgb="009C6500"/>
      </font>
      <fill>
        <patternFill patternType="solid">
          <fgColor rgb="00FFEB9C"/>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54"/>
  <sheetViews>
    <sheetView workbookViewId="0">
      <selection activeCell="A1" sqref="A1"/>
    </sheetView>
  </sheetViews>
  <sheetFormatPr baseColWidth="8" defaultRowHeight="15"/>
  <cols>
    <col width="30" customWidth="1" min="1" max="1"/>
    <col width="20" customWidth="1" min="2" max="2"/>
    <col width="25" customWidth="1" min="3" max="3"/>
    <col width="35" customWidth="1" min="4" max="4"/>
    <col width="45" customWidth="1" min="5" max="5"/>
    <col width="15" customWidth="1" min="6" max="6"/>
    <col width="15" customWidth="1" min="7" max="7"/>
    <col width="40" customWidth="1" min="8" max="8"/>
    <col width="40" customWidth="1" min="9" max="9"/>
    <col width="25" customWidth="1" min="10" max="10"/>
    <col width="30" customWidth="1" min="11" max="11"/>
  </cols>
  <sheetData>
    <row r="1">
      <c r="A1" s="1" t="inlineStr">
        <is>
          <t>Databricks Genie Readiness — Executive Summary</t>
        </is>
      </c>
    </row>
    <row r="2">
      <c r="A2" s="2" t="inlineStr">
        <is>
          <t>Layer 1 Data Foundation · Layer 2 Semantic Validation · Layer 3 Query Library Fit · Layer 4 Use Case &amp; Value (mapped to the 6 readiness dimensions)</t>
        </is>
      </c>
    </row>
    <row r="4">
      <c r="A4" s="3" t="inlineStr">
        <is>
          <t>SCAN OVERVIEW</t>
        </is>
      </c>
      <c r="B4" s="3" t="n"/>
      <c r="C4" s="3" t="n"/>
      <c r="D4" s="3" t="n"/>
      <c r="E4" s="3" t="n"/>
    </row>
    <row r="5">
      <c r="A5" s="4" t="inlineStr">
        <is>
          <t>Client / Account</t>
        </is>
      </c>
      <c r="B5" s="5" t="inlineStr">
        <is>
          <t>[Fill during workshop]</t>
        </is>
      </c>
      <c r="C5" t="inlineStr"/>
      <c r="D5" s="4" t="inlineStr">
        <is>
          <t>Business Domain</t>
        </is>
      </c>
      <c r="E5" s="5" t="inlineStr">
        <is>
          <t>brz_dev - default</t>
        </is>
      </c>
    </row>
    <row r="6">
      <c r="A6" s="4" t="inlineStr">
        <is>
          <t>Workshop Date</t>
        </is>
      </c>
      <c r="B6" s="5" t="inlineStr">
        <is>
          <t>2026-08-20</t>
        </is>
      </c>
      <c r="C6" t="inlineStr"/>
      <c r="D6" s="4" t="inlineStr">
        <is>
          <t>Catalog(s) Scanned</t>
        </is>
      </c>
      <c r="E6" s="5" t="inlineStr">
        <is>
          <t>brz_dev</t>
        </is>
      </c>
    </row>
    <row r="7">
      <c r="A7" s="4" t="inlineStr">
        <is>
          <t>Schema(s) Scanned</t>
        </is>
      </c>
      <c r="B7" s="5" t="inlineStr">
        <is>
          <t>default</t>
        </is>
      </c>
      <c r="C7" t="inlineStr"/>
      <c r="D7" s="4" t="inlineStr">
        <is>
          <t>Tables Scanned</t>
        </is>
      </c>
      <c r="E7" s="5" t="n">
        <v>4</v>
      </c>
    </row>
    <row r="8">
      <c r="A8" s="4" t="inlineStr">
        <is>
          <t>LLM Endpoint Used</t>
        </is>
      </c>
      <c r="B8" s="5" t="inlineStr">
        <is>
          <t>databricks-claude-sonnet-4-6</t>
        </is>
      </c>
      <c r="C8" t="inlineStr"/>
      <c r="D8" s="4" t="inlineStr">
        <is>
          <t>Assessment Type</t>
        </is>
      </c>
      <c r="E8" s="5" t="inlineStr">
        <is>
          <t>Databricks Genie Technical Readiness Assessment</t>
        </is>
      </c>
    </row>
    <row r="10">
      <c r="A10" s="3" t="inlineStr">
        <is>
          <t>READINESS SNAPSHOT</t>
        </is>
      </c>
      <c r="B10" s="3" t="n"/>
      <c r="C10" s="3" t="n"/>
      <c r="D10" s="3" t="n"/>
      <c r="E10" s="3" t="n"/>
      <c r="F10" s="3" t="n"/>
    </row>
    <row r="11">
      <c r="A11" s="2" t="inlineStr">
        <is>
          <t>We keep two signals separate on purpose: domain foundation readiness is scan-wide and can be legitimately rolled into one gate; use-case fit is decided question-by-question, so it's reported as a portfolio count, not blended into a single RED/YELLOW/GREEN.</t>
        </is>
      </c>
    </row>
    <row r="12">
      <c r="A12" s="6" t="inlineStr">
        <is>
          <t>Layer 1 — Foundation Gate</t>
        </is>
      </c>
      <c r="B12" s="6" t="inlineStr">
        <is>
          <t>Use Cases Evaluated</t>
        </is>
      </c>
      <c r="C12" s="6" t="inlineStr">
        <is>
          <t>Proceed</t>
        </is>
      </c>
      <c r="D12" s="6" t="inlineStr">
        <is>
          <t>Borderline — Review</t>
        </is>
      </c>
      <c r="E12" s="6" t="inlineStr">
        <is>
          <t>Deferred, Not Forced</t>
        </is>
      </c>
      <c r="F12" s="6" t="inlineStr"/>
    </row>
    <row r="13">
      <c r="A13" s="7" t="inlineStr">
        <is>
          <t>GREEN</t>
        </is>
      </c>
      <c r="B13" s="8" t="n">
        <v>10</v>
      </c>
      <c r="C13" s="8" t="inlineStr"/>
      <c r="D13" s="8" t="inlineStr"/>
      <c r="E13" s="8" t="inlineStr"/>
      <c r="F13" s="8" t="inlineStr"/>
    </row>
    <row r="15">
      <c r="A15" s="3" t="inlineStr">
        <is>
          <t>LAYER 1 — DATA FOUNDATION READINESS (auto-scanned)</t>
        </is>
      </c>
      <c r="B15" s="3" t="n"/>
      <c r="C15" s="3" t="n"/>
      <c r="D15" s="3" t="n"/>
      <c r="E15" s="3" t="n"/>
      <c r="F15" s="3" t="n"/>
    </row>
    <row r="16">
      <c r="A16" s="6" t="inlineStr">
        <is>
          <t>Dimension</t>
        </is>
      </c>
      <c r="B16" s="6" t="inlineStr">
        <is>
          <t>Category</t>
        </is>
      </c>
      <c r="C16" s="6" t="inlineStr">
        <is>
          <t>Score (RAG)</t>
        </is>
      </c>
      <c r="D16" s="6" t="inlineStr">
        <is>
          <t>Metric</t>
        </is>
      </c>
      <c r="E16" s="6" t="inlineStr">
        <is>
          <t>Remediation Required</t>
        </is>
      </c>
      <c r="F16" s="6" t="n"/>
    </row>
    <row r="17">
      <c r="A17" s="9" t="inlineStr">
        <is>
          <t>Unity Catalog Registration &amp; Governance</t>
        </is>
      </c>
      <c r="B17" s="9" t="inlineStr">
        <is>
          <t>Blocker</t>
        </is>
      </c>
      <c r="C17" s="7" t="inlineStr">
        <is>
          <t>GREEN</t>
        </is>
      </c>
      <c r="D17" s="9" t="inlineStr">
        <is>
          <t>4 / 4 tables registered</t>
        </is>
      </c>
      <c r="E17" s="9" t="inlineStr">
        <is>
          <t>None</t>
        </is>
      </c>
    </row>
    <row r="18">
      <c r="A18" s="9" t="inlineStr">
        <is>
          <t>Table Descriptions</t>
        </is>
      </c>
      <c r="B18" s="9" t="inlineStr">
        <is>
          <t>Blocker</t>
        </is>
      </c>
      <c r="C18" s="7" t="inlineStr">
        <is>
          <t>GREEN</t>
        </is>
      </c>
      <c r="D18" s="9" t="inlineStr">
        <is>
          <t>100.0% coverage</t>
        </is>
      </c>
      <c r="E18" s="9" t="inlineStr">
        <is>
          <t>None</t>
        </is>
      </c>
    </row>
    <row r="19">
      <c r="A19" s="9" t="inlineStr">
        <is>
          <t>Column Descriptions</t>
        </is>
      </c>
      <c r="B19" s="9" t="inlineStr">
        <is>
          <t>Blocker</t>
        </is>
      </c>
      <c r="C19" s="7" t="inlineStr">
        <is>
          <t>GREEN</t>
        </is>
      </c>
      <c r="D19" s="9" t="inlineStr">
        <is>
          <t>100.0% coverage</t>
        </is>
      </c>
      <c r="E19" s="9" t="inlineStr">
        <is>
          <t>None</t>
        </is>
      </c>
    </row>
    <row r="20">
      <c r="A20" s="9" t="inlineStr">
        <is>
          <t>Relationships (PK / FK)</t>
        </is>
      </c>
      <c r="B20" s="9" t="inlineStr">
        <is>
          <t>Blocker</t>
        </is>
      </c>
      <c r="C20" s="7" t="inlineStr">
        <is>
          <t>GREEN</t>
        </is>
      </c>
      <c r="D20" s="9" t="inlineStr">
        <is>
          <t>4 PKs / 1 FKs defined</t>
        </is>
      </c>
      <c r="E20" s="9" t="inlineStr">
        <is>
          <t>None</t>
        </is>
      </c>
    </row>
    <row r="21">
      <c r="A21" s="9" t="inlineStr">
        <is>
          <t>Data Domain Scope &amp; Table Selection</t>
        </is>
      </c>
      <c r="B21" s="9" t="inlineStr">
        <is>
          <t>Desirable</t>
        </is>
      </c>
      <c r="C21" s="7" t="inlineStr">
        <is>
          <t>GREEN</t>
        </is>
      </c>
      <c r="D21" s="9" t="inlineStr">
        <is>
          <t>4 tables in scope</t>
        </is>
      </c>
      <c r="E21" s="9" t="inlineStr">
        <is>
          <t>None</t>
        </is>
      </c>
    </row>
    <row r="22">
      <c r="A22" s="9" t="inlineStr">
        <is>
          <t>Unstructured Knowledge Integration</t>
        </is>
      </c>
      <c r="B22" s="9" t="inlineStr">
        <is>
          <t>Desirable</t>
        </is>
      </c>
      <c r="C22" s="8" t="inlineStr">
        <is>
          <t>N/A</t>
        </is>
      </c>
      <c r="D22" s="9" t="inlineStr">
        <is>
          <t>Not evaluated in this scan</t>
        </is>
      </c>
      <c r="E22" s="9" t="inlineStr">
        <is>
          <t>Evaluate if needed</t>
        </is>
      </c>
    </row>
    <row r="23">
      <c r="A23" s="10" t="inlineStr">
        <is>
          <t>Layer 1 Rollup</t>
        </is>
      </c>
      <c r="B23" s="7" t="inlineStr">
        <is>
          <t>GREEN</t>
        </is>
      </c>
      <c r="C23" s="9" t="inlineStr">
        <is>
          <t>RED if any dimension is RED · YELLOW if any is YELLOW · else GREEN</t>
        </is>
      </c>
      <c r="D23" s="9" t="inlineStr"/>
      <c r="E23" s="9" t="inlineStr"/>
    </row>
    <row r="25">
      <c r="A25" s="3" t="inlineStr">
        <is>
          <t>LAYER 2 — BUSINESS QUESTION / SEMANTIC VALIDATION (manual + tool)</t>
        </is>
      </c>
      <c r="B25" s="3" t="n"/>
      <c r="C25" s="3" t="n"/>
      <c r="D25" s="3" t="n"/>
      <c r="E25" s="3" t="n"/>
      <c r="F25" s="3" t="n"/>
      <c r="G25" s="3" t="n"/>
      <c r="H25" s="3" t="n"/>
      <c r="I25" s="3" t="n"/>
    </row>
    <row r="26">
      <c r="A26" s="6" t="inlineStr">
        <is>
          <t>Q#</t>
        </is>
      </c>
      <c r="B26" s="6" t="inlineStr">
        <is>
          <t>Business Question (manual)</t>
        </is>
      </c>
      <c r="C26" s="6" t="inlineStr">
        <is>
          <t>Expected / Ground-Truth Answer (manual)</t>
        </is>
      </c>
      <c r="D26" s="6" t="inlineStr">
        <is>
          <t>Genie's Actual Answer (manual — paste from live test)</t>
        </is>
      </c>
      <c r="E26" s="6" t="inlineStr">
        <is>
          <t>Match?</t>
        </is>
      </c>
      <c r="F26" s="6" t="inlineStr">
        <is>
          <t>Confidence (auto, 1–10)</t>
        </is>
      </c>
      <c r="G26" s="6" t="inlineStr">
        <is>
          <t>Answerable? (auto)</t>
        </is>
      </c>
      <c r="H26" s="6" t="inlineStr">
        <is>
          <t>Gap / Notes (auto reasoning)</t>
        </is>
      </c>
      <c r="I26" s="6" t="inlineStr">
        <is>
          <t>Generated SQL (Context)</t>
        </is>
      </c>
    </row>
    <row r="27">
      <c r="A27" s="8" t="n">
        <v>1</v>
      </c>
      <c r="B27" s="11" t="inlineStr">
        <is>
          <t>¿Cuáles fueron las ventas netas por año?</t>
        </is>
      </c>
      <c r="C27" s="11" t="inlineStr"/>
      <c r="D27" s="11" t="inlineStr">
        <is>
          <t>Las ventas netas por año se pueden calcular sumando el campo net_sales de la tabla de hechos agrupado por el año de la dimensión de fechas. Por ejemplo: Año 2021: $X, Año 2022: $Y, Año 2023: $Z.</t>
        </is>
      </c>
      <c r="E27" s="8" t="inlineStr"/>
      <c r="F27" s="8" t="n">
        <v>10</v>
      </c>
      <c r="G27" s="7" t="inlineStr">
        <is>
          <t>YES</t>
        </is>
      </c>
      <c r="H27" s="11" t="inlineStr">
        <is>
          <t>La pregunta solicita las ventas netas agrupadas por año. La tabla fact_sales_demo_genie contiene el campo net_sales (ventas netas) y la clave foránea date_id. La tabla dim_date_demo_genie contiene el campo year que permite agrupar por año. Un simple JOIN entre ambas tablas y una agregación SUM sobre net_sales agrupada por year es suficiente para responder la pregunta de forma completa y sin ambigüedades.</t>
        </is>
      </c>
      <c r="I27" s="11" t="inlineStr">
        <is>
          <t>SELECT
    d.year,
    SUM(f.net_sales) AS total_net_sales
FROM
    brz_dev.default.fact_sales_demo_genie f
    JOIN brz_dev.default.dim_date_demo_genie d
        ON f.date_id = d.date_id
GROUP BY
    d.year
ORDER BY
    d.year ASC;</t>
        </is>
      </c>
    </row>
    <row r="28">
      <c r="A28" s="8" t="n">
        <v>2</v>
      </c>
      <c r="B28" s="11" t="inlineStr">
        <is>
          <t>¿Cuál es el top 5 de productos con mayores ventas?</t>
        </is>
      </c>
      <c r="C28" s="11" t="inlineStr"/>
      <c r="D28" s="11" t="inlineStr">
        <is>
          <t>El top 5 de productos con mayores ventas netas serían los 5 productos con mayor suma de net_sales en la tabla de hechos, identificados por su nombre en dim_product_demo_genie. Por ejemplo: Producto A ($5,200,000), Producto B ($4,800,000), Producto C ($4,100,000), Producto D ($3,750,000), Producto E ($3,200,000).</t>
        </is>
      </c>
      <c r="E28" s="8" t="inlineStr"/>
      <c r="F28" s="8" t="n">
        <v>9</v>
      </c>
      <c r="G28" s="7" t="inlineStr">
        <is>
          <t>YES</t>
        </is>
      </c>
      <c r="H28" s="11" t="inlineStr">
        <is>
          <t>La pregunta solicita el top 5 de productos con mayores ventas. La tabla fact_sales_demo_genie contiene las métricas de ventas (net_sales, gross_sales, quantity) y la clave foránea product_id. La tabla dim_product_demo_genie contiene el nombre descriptivo del producto. Con un simple JOIN, agregación por producto y ordenamiento descendente por ventas netas (net_sales), se puede responder la pregunta. Se usa net_sales como métrica principal de ventas ya que representa el valor real después de descuentos, aunque también se incluye gross_sales para referencia. La pregunta es directamente respondible con los datos disponibles.</t>
        </is>
      </c>
      <c r="I28" s="11" t="inlineStr">
        <is>
          <t>SELECT
    p.product_id,
    p.product_name,
    p.brand,
    p.product_type,
    SUM(f.net_sales) AS total_net_sales,
    SUM(f.gross_sales) AS total_gross_sales,
    SUM(f.quantity) AS total_quantity
FROM
    brz_dev.default.fact_sales_demo_genie f
    JOIN brz_dev.default.dim_product_demo_genie p
        ON f.product_id = p.product_id
GROUP BY
    p.product_id,
    p.product_name,
    p.brand,
    p.product_type
ORDER BY
    total_net_sales DESC
LIMIT 5;</t>
        </is>
      </c>
    </row>
    <row r="29">
      <c r="A29" s="8" t="n">
        <v>3</v>
      </c>
      <c r="B29" s="11" t="inlineStr">
        <is>
          <t>¿Cuántas unidades se vendieron por producto?</t>
        </is>
      </c>
      <c r="C29" s="11" t="inlineStr"/>
      <c r="D29" s="11" t="inlineStr">
        <is>
          <t>Las unidades vendidas por producto se obtienen sumando la columna 'quantity' de la tabla de hechos agrupada por producto. Por ejemplo: Producto A → 1,200 unidades, Producto B → 850 unidades, Producto C → 2,300 unidades, etc.</t>
        </is>
      </c>
      <c r="E29" s="8" t="inlineStr"/>
      <c r="F29" s="8" t="n">
        <v>10</v>
      </c>
      <c r="G29" s="7" t="inlineStr">
        <is>
          <t>YES</t>
        </is>
      </c>
      <c r="H29" s="11" t="inlineStr">
        <is>
          <t>La pregunta solicita la suma de unidades vendidas agrupadas por producto. La tabla de hechos 'fact_sales_demo_genie' contiene la columna 'quantity' (unidades vendidas) y la llave foránea 'product_id'. La dimensión 'dim_product_demo_genie' contiene los atributos descriptivos del producto (nombre, marca, tipo). Un simple JOIN entre ambas tablas y un GROUP BY sobre product_id/product_name con SUM(quantity) responde completamente la pregunta. No hay ambigüedad ni datos faltantes.</t>
        </is>
      </c>
      <c r="I29" s="11" t="inlineStr">
        <is>
          <t>SELECT
    p.product_id,
    p.product_name,
    p.brand,
    p.product_type,
    SUM(f.quantity) AS total_units_sold
FROM
    brz_dev.default.fact_sales_demo_genie f
    JOIN brz_dev.default.dim_product_demo_genie p
        ON f.product_id = p.product_id
GROUP BY
    p.product_id,
    p.product_name,
    p.brand,
    p.product_type
ORDER BY
    total_units_sold DESC;</t>
        </is>
      </c>
    </row>
    <row r="30">
      <c r="A30" s="8" t="n">
        <v>4</v>
      </c>
      <c r="B30" s="11" t="inlineStr">
        <is>
          <t>¿Cuál es el descuento promedio por cliente?</t>
        </is>
      </c>
      <c r="C30" s="11" t="inlineStr"/>
      <c r="D30" s="11" t="inlineStr">
        <is>
          <t>El descuento promedio por cliente varía según cada uno. Por ejemplo, el cliente 'Empresa ABC' tiene un descuento promedio de $150.00 por línea de venta, mientras que 'Distribuidora XYZ' tiene un promedio de $85.50. La consulta devuelve el promedio del campo 'discount' agrupado por cada cliente.</t>
        </is>
      </c>
      <c r="E30" s="8" t="inlineStr"/>
      <c r="F30" s="8" t="n">
        <v>10</v>
      </c>
      <c r="G30" s="7" t="inlineStr">
        <is>
          <t>YES</t>
        </is>
      </c>
      <c r="H30" s="11" t="inlineStr">
        <is>
          <t>La pregunta solicita el descuento promedio por cliente. La tabla de hechos 'fact_sales_demo_genie' contiene la columna 'discount' (descuento aplicado a cada línea de venta) y 'customer_id' como llave foránea. La dimensión 'dim_customer_demo_genie' aporta el nombre del cliente. Con un simple JOIN y un AVG(discount) agrupado por customer_id y customer_name, la pregunta queda completamente respondida. No hay ambigüedad en la definición del descuento promedio ya que existe una columna explícita para ello.</t>
        </is>
      </c>
      <c r="I30" s="11" t="inlineStr">
        <is>
          <t>SELECT
    c.customer_id,
    c.customer_name,
    AVG(f.discount) AS avg_discount
FROM
    brz_dev.default.fact_sales_demo_genie f
    JOIN brz_dev.default.dim_customer_demo_genie c
        ON f.customer_id = c.customer_id
GROUP BY
    c.customer_id,
    c.customer_name
ORDER BY
    avg_discount DESC;</t>
        </is>
      </c>
    </row>
    <row r="31">
      <c r="A31" s="8" t="n">
        <v>5</v>
      </c>
      <c r="B31" s="11" t="inlineStr">
        <is>
          <t>¿Cuántas órdenes se realizaron en total?</t>
        </is>
      </c>
      <c r="C31" s="11" t="inlineStr"/>
      <c r="D31" s="11" t="inlineStr">
        <is>
          <t>El total de órdenes realizadas se obtiene contando los valores distintos de order_id en la tabla de hechos de ventas. Por ejemplo, si existen 15,000 valores únicos de order_id, entonces se realizaron 15,000 órdenes en total.</t>
        </is>
      </c>
      <c r="E31" s="8" t="inlineStr"/>
      <c r="F31" s="8" t="n">
        <v>10</v>
      </c>
      <c r="G31" s="7" t="inlineStr">
        <is>
          <t>YES</t>
        </is>
      </c>
      <c r="H31" s="11" t="inlineStr">
        <is>
          <t>La pregunta solicita el conteo total de órdenes. La tabla fact_sales_demo_genie contiene la columna order_id, que identifica cada orden. Dado que una orden puede tener múltiples líneas de producto (y por tanto múltiples filas con el mismo order_id), se debe usar COUNT(DISTINCT order_id) para obtener el número real de órdenes únicas. No se requieren joins adicionales ni información de otras tablas para responder esta pregunta.</t>
        </is>
      </c>
      <c r="I31" s="11" t="inlineStr">
        <is>
          <t>SELECT COUNT(DISTINCT order_id) AS total_orders
FROM brz_dev.default.fact_sales_demo_genie;</t>
        </is>
      </c>
    </row>
    <row r="32">
      <c r="A32" s="8" t="n">
        <v>6</v>
      </c>
      <c r="B32" s="11" t="inlineStr">
        <is>
          <t>¿Cuáles son los 10 clientes con mayores ventas brutas?</t>
        </is>
      </c>
      <c r="C32" s="11" t="inlineStr"/>
      <c r="D32" s="11" t="inlineStr">
        <is>
          <t>Los 10 clientes con mayores ventas brutas son aquellos cuya suma de gross_sales en la tabla de hechos es más alta. Por ejemplo, el cliente con mayor venta bruta podría ser 'Cliente A' con $X millones, seguido de 'Cliente B' con $Y millones, y así sucesivamente hasta completar el top 10.</t>
        </is>
      </c>
      <c r="E32" s="8" t="inlineStr"/>
      <c r="F32" s="8" t="n">
        <v>10</v>
      </c>
      <c r="G32" s="7" t="inlineStr">
        <is>
          <t>YES</t>
        </is>
      </c>
      <c r="H32" s="11" t="inlineStr">
        <is>
          <t>La pregunta solicita los 10 clientes con mayores ventas brutas. La tabla fact_sales_demo_genie contiene la columna gross_sales y customer_id, y la tabla dim_customer_demo_genie contiene el nombre del cliente (customer_name) junto con su identificador (customer_id). Con un simple JOIN entre ambas tablas, una agregación SUM sobre gross_sales agrupada por cliente, y un ORDER BY DESC con LIMIT 10, se puede responder la pregunta de forma completa y precisa. No hay ambigüedad ni datos faltantes.</t>
        </is>
      </c>
      <c r="I32" s="11" t="inlineStr">
        <is>
          <t>SELECT
    c.customer_id,
    c.customer_name,
    SUM(f.gross_sales) AS total_gross_sales
FROM
    brz_dev.default.fact_sales_demo_genie f
    JOIN brz_dev.default.dim_customer_demo_genie c
        ON f.customer_id = c.customer_id
GROUP BY
    c.customer_id,
    c.customer_name
ORDER BY
    total_gross_sales DESC
LIMIT 10;</t>
        </is>
      </c>
    </row>
    <row r="33">
      <c r="A33" s="8" t="n">
        <v>7</v>
      </c>
      <c r="B33" s="11" t="inlineStr">
        <is>
          <t>¿Cuál es la diferencia entre ventas brutas y ventas netas por año?</t>
        </is>
      </c>
      <c r="C33" s="11" t="inlineStr"/>
      <c r="D33" s="11" t="inlineStr">
        <is>
          <t>La diferencia entre ventas brutas y ventas netas (es decir, el total de descuentos aplicados) por año sería, por ejemplo: en 2022 las ventas brutas fueron $5,000,000, las ventas netas $4,500,000 y la diferencia (descuentos) fue de $500,000; en 2023 las ventas brutas fueron $6,200,000, las ventas netas $5,600,000 y la diferencia fue de $600,000. (Los valores exactos dependen de los datos reales en la tabla.)</t>
        </is>
      </c>
      <c r="E33" s="8" t="inlineStr"/>
      <c r="F33" s="8" t="n">
        <v>10</v>
      </c>
      <c r="G33" s="7" t="inlineStr">
        <is>
          <t>YES</t>
        </is>
      </c>
      <c r="H33" s="11" t="inlineStr">
        <is>
          <t>La pregunta solicita la diferencia entre ventas brutas (gross_sales) y ventas netas (net_sales) agrupada por año. Ambas métricas existen directamente en la tabla de hechos 'fact_sales_demo_genie'. El año se obtiene haciendo un JOIN con 'dim_date_demo_genie' usando la clave 'date_id'. La diferencia entre ambas columnas equivale al descuento total aplicado, que también está disponible en la columna 'discount'. No hay ambigüedad ni datos faltantes; la pregunta es completamente respondible con las tablas disponibles.</t>
        </is>
      </c>
      <c r="I33" s="11" t="inlineStr">
        <is>
          <t>SELECT
    d.year,
    SUM(f.gross_sales)                        AS total_gross_sales,
    SUM(f.net_sales)                           AS total_net_sales,
    SUM(f.gross_sales) - SUM(f.net_sales)      AS difference_gross_vs_net,
    SUM(f.discount)                            AS total_discount
FROM brz_dev.default.fact_sales_demo_genie f
JOIN brz_dev.default.dim_date_demo_genie d
    ON f.date_id = d.date_id
GROUP BY d.year
ORDER BY d.year;</t>
        </is>
      </c>
    </row>
    <row r="34">
      <c r="A34" s="8" t="n">
        <v>8</v>
      </c>
      <c r="B34" s="11" t="inlineStr">
        <is>
          <t>¿Cuántas unidades se vendieron por mes en el último año?</t>
        </is>
      </c>
      <c r="C34" s="11" t="inlineStr"/>
      <c r="D34" s="11" t="inlineStr">
        <is>
          <t>En el último año (2024, por ejemplo), las unidades vendidas por mes fueron: Enero: 12,500 unidades, Febrero: 11,800 unidades, Marzo: 13,200 unidades, ... (los valores exactos dependerán de los datos reales en la tabla).</t>
        </is>
      </c>
      <c r="E34" s="8" t="inlineStr"/>
      <c r="F34" s="8" t="n">
        <v>9</v>
      </c>
      <c r="G34" s="7" t="inlineStr">
        <is>
          <t>YES</t>
        </is>
      </c>
      <c r="H34" s="11" t="inlineStr">
        <is>
          <t>La pregunta solicita el total de unidades vendidas (quantity) agrupadas por mes, restringidas al último año disponible. La tabla de hechos 'fact_sales_demo_genie' contiene la columna 'quantity' (unidades vendidas) y 'date_id' como llave foránea hacia la dimensión de fechas. La tabla 'dim_date_demo_genie' provee las columnas 'year', 'month' y 'month_name' necesarias para la agrupación mensual. El 'último año' se puede derivar dinámicamente usando MAX(year) sobre la dimensión de fechas, lo cual es una derivación SQL estándar. No hay ambigüedad en la pregunta ni datos faltantes.</t>
        </is>
      </c>
      <c r="I34" s="11" t="inlineStr">
        <is>
          <t>SELECT
    d.year,
    d.month,
    d.month_name,
    SUM(f.quantity) AS total_units_sold
FROM
    brz_dev.default.fact_sales_demo_genie f
    JOIN brz_dev.default.dim_date_demo_genie d
        ON f.date_id = d.date_id
WHERE
    d.year = (
        SELECT MAX(year)
        FROM brz_dev.default.dim_date_demo_genie
    )
GROUP BY
    d.year,
    d.month,
    d.month_name
ORDER BY
    d.month ASC;</t>
        </is>
      </c>
    </row>
    <row r="35">
      <c r="A35" s="8" t="n">
        <v>9</v>
      </c>
      <c r="B35" s="11" t="inlineStr">
        <is>
          <t>¿Qué productos tienen un descuento promedio mayor al 10%?</t>
        </is>
      </c>
      <c r="C35" s="11" t="inlineStr"/>
      <c r="D35" s="11" t="inlineStr">
        <is>
          <t>Los productos con un descuento promedio mayor al 10% son aquellos cuyo promedio de la columna 'discount' en la tabla de hechos supera el 10% del valor bruto de venta (gross_sales). Por ejemplo, podrían ser productos como 'Producto A' con un descuento promedio del 12%, 'Producto B' con 15%, etc. La lista exacta depende de los datos reales.</t>
        </is>
      </c>
      <c r="E35" s="8" t="inlineStr"/>
      <c r="F35" s="8" t="n">
        <v>9</v>
      </c>
      <c r="G35" s="7" t="inlineStr">
        <is>
          <t>YES</t>
        </is>
      </c>
      <c r="H35" s="11" t="inlineStr">
        <is>
          <t>La pregunta solicita productos cuyo descuento promedio supere el 10%. La tabla 'fact_sales_demo_genie' contiene las columnas 'discount' y 'gross_sales', lo que permite calcular el porcentaje de descuento promedio por producto (discount / gross_sales * 100). La tabla 'dim_product_demo_genie' proporciona los atributos descriptivos del producto (nombre, marca, tipo, fabricante). Se asume que el '10%' se refiere al porcentaje del descuento respecto al valor bruto de venta, que es la interpretación más estándar en contextos comerciales. El JOIN entre ambas tablas se realiza mediante product_id. La consulta agrupa por producto, calcula el porcentaje promedio de descuento y filtra aquellos que superan el 10%.</t>
        </is>
      </c>
      <c r="I35" s="11" t="inlineStr">
        <is>
          <t>SELECT
    p.product_id,
    p.product_name,
    p.brand,
    p.product_type,
    p.manufacturer,
    AVG(f.discount) AS avg_discount,
    AVG(f.gross_sales) AS avg_gross_sales,
    AVG(f.discount / NULLIF(f.gross_sales, 0)) * 100 AS avg_discount_pct
FROM
    brz_dev.default.fact_sales_demo_genie f
    JOIN brz_dev.default.dim_product_demo_genie p
        ON f.product_id = p.product_id
GROUP BY
    p.product_id,
    p.product_name,
    p.brand,
    p.product_type,
    p.manufacturer
HAVING
    AVG(f.discount / NULLIF(f.gross_sales, 0)) * 100 &gt; 10
ORDER BY
    avg_discount_pct DESC;</t>
        </is>
      </c>
    </row>
    <row r="36">
      <c r="A36" s="8" t="n">
        <v>10</v>
      </c>
      <c r="B36" s="11" t="inlineStr">
        <is>
          <t>¿Cuál es el ingreso neto promedio por orden?</t>
        </is>
      </c>
      <c r="C36" s="11" t="inlineStr"/>
      <c r="D36" s="11" t="inlineStr">
        <is>
          <t>El ingreso neto promedio por orden es el resultado de dividir la suma total de net_sales entre el número de órdenes únicas (order_id). Por ejemplo, si la suma total de net_sales es $10,000,000 y existen 500 órdenes únicas, el ingreso neto promedio por orden sería $20,000.</t>
        </is>
      </c>
      <c r="E36" s="8" t="inlineStr"/>
      <c r="F36" s="8" t="n">
        <v>10</v>
      </c>
      <c r="G36" s="7" t="inlineStr">
        <is>
          <t>YES</t>
        </is>
      </c>
      <c r="H36" s="11" t="inlineStr">
        <is>
          <t>La pregunta solicita el ingreso neto promedio por orden. La tabla fact_sales_demo_genie contiene tanto 'net_sales' (valor neto de la venta) como 'order_id' (identificador de la orden). Dado que una orden puede tener múltiples líneas de producto, el ingreso neto por orden se calcula sumando net_sales agrupado por order_id, y luego promediando esos totales. Esto es equivalente a dividir la suma total de net_sales entre el número de órdenes únicas (COUNT DISTINCT order_id). No se requieren joins adicionales ni existe ambigüedad en la definición del indicador.</t>
        </is>
      </c>
      <c r="I36" s="11" t="inlineStr">
        <is>
          <t>SELECT
  SUM(net_sales) / COUNT(DISTINCT order_id) AS avg_net_sales_per_order
FROM
  brz_dev.default.fact_sales_demo_genie;</t>
        </is>
      </c>
    </row>
    <row r="37">
      <c r="A37" s="12" t="inlineStr">
        <is>
          <t>Layer 2 Rollup</t>
        </is>
      </c>
      <c r="B37" s="13">
        <f>IFERROR(COUNTIF(E27:E36, "YES")/COUNTA(E27:E36), 0)</f>
        <v/>
      </c>
      <c r="C37" s="11" t="inlineStr">
        <is>
          <t>% of tested questions with Match = YES (informational — not blended into Layer 1's gate)</t>
        </is>
      </c>
      <c r="D37" s="11" t="inlineStr"/>
      <c r="E37" s="8" t="inlineStr"/>
      <c r="F37" s="8" t="inlineStr"/>
      <c r="G37" s="8" t="inlineStr"/>
      <c r="H37" s="11" t="inlineStr"/>
      <c r="I37" s="11" t="inlineStr"/>
    </row>
    <row r="39">
      <c r="A39" s="3" t="inlineStr">
        <is>
          <t>LAYER 3 — QUERY LIBRARY READINESS (auto-scanned)</t>
        </is>
      </c>
      <c r="B39" s="3" t="n"/>
      <c r="C39" s="3" t="n"/>
      <c r="D39" s="3" t="n"/>
      <c r="E39" s="3" t="n"/>
      <c r="F39" s="3" t="n"/>
      <c r="G39" s="3" t="n"/>
      <c r="H39" s="3" t="n"/>
      <c r="I39" s="3" t="n"/>
    </row>
    <row r="40">
      <c r="A40" s="6" t="inlineStr">
        <is>
          <t>Query / View Name</t>
        </is>
      </c>
      <c r="B40" s="6" t="inlineStr">
        <is>
          <t>Classification</t>
        </is>
      </c>
      <c r="C40" s="6" t="inlineStr">
        <is>
          <t>Confidence (1–10)</t>
        </is>
      </c>
      <c r="D40" s="6" t="inlineStr">
        <is>
          <t>Maps to Q#</t>
        </is>
      </c>
      <c r="E40" s="6" t="inlineStr">
        <is>
          <t>Key Issues</t>
        </is>
      </c>
      <c r="F40" s="6" t="inlineStr">
        <is>
          <t>Cleanup Needed?</t>
        </is>
      </c>
      <c r="G40" s="6" t="n"/>
      <c r="H40" s="6" t="n"/>
      <c r="I40" s="6" t="n"/>
    </row>
    <row r="41">
      <c r="A41" s="14" t="inlineStr">
        <is>
          <t>Layer 3 Rollup</t>
        </is>
      </c>
      <c r="B41" s="13" t="inlineStr">
        <is>
          <t>0</t>
        </is>
      </c>
      <c r="C41" s="11" t="inlineStr">
        <is>
          <t>% of scanned queries that are GOOD_CANDIDATE (informational)</t>
        </is>
      </c>
      <c r="D41" s="11" t="inlineStr"/>
      <c r="E41" s="11" t="inlineStr"/>
      <c r="F41" s="11" t="inlineStr"/>
    </row>
    <row r="43">
      <c r="A43" s="3" t="inlineStr">
        <is>
          <t>LAYER 4 — TOP USE CASES &amp; VALUE (manual, scored at the workshop)</t>
        </is>
      </c>
      <c r="B43" s="3" t="n"/>
      <c r="C43" s="3" t="n"/>
      <c r="D43" s="3" t="n"/>
      <c r="E43" s="3" t="n"/>
      <c r="F43" s="3" t="n"/>
      <c r="G43" s="3" t="n"/>
      <c r="H43" s="3" t="n"/>
      <c r="I43" s="3" t="n"/>
      <c r="J43" s="3" t="n"/>
      <c r="K43" s="3" t="n"/>
    </row>
    <row r="44">
      <c r="A44" s="6" t="inlineStr">
        <is>
          <t>Q#</t>
        </is>
      </c>
      <c r="B44" s="6" t="inlineStr">
        <is>
          <t>Business Question</t>
        </is>
      </c>
      <c r="C44" s="6" t="inlineStr">
        <is>
          <t>Data Exists &amp; in UC (1–3)</t>
        </is>
      </c>
      <c r="D44" s="6" t="inlineStr">
        <is>
          <t>Question Clearly Defined (1–3)</t>
        </is>
      </c>
      <c r="E44" s="6" t="inlineStr">
        <is>
          <t>Acceptance Criteria Written (1–3)</t>
        </is>
      </c>
      <c r="F44" s="6" t="inlineStr">
        <is>
          <t>Business Owner Available (1–3)</t>
        </is>
      </c>
      <c r="G44" s="6" t="inlineStr">
        <is>
          <t>SQL Deterministic (1–3)</t>
        </is>
      </c>
      <c r="H44" s="6" t="inlineStr">
        <is>
          <t>Est. Business Impact (1–3)</t>
        </is>
      </c>
      <c r="I44" s="6" t="inlineStr">
        <is>
          <t>Total (/18)</t>
        </is>
      </c>
      <c r="J44" s="6" t="inlineStr">
        <is>
          <t>Decision</t>
        </is>
      </c>
      <c r="K44" s="6" t="inlineStr">
        <is>
          <t>Value / Workforce Impact Notes (manual)</t>
        </is>
      </c>
    </row>
    <row r="45">
      <c r="A45" s="8" t="n">
        <v>1</v>
      </c>
      <c r="B45" s="11" t="inlineStr">
        <is>
          <t>¿Cuáles fueron las ventas netas por año?</t>
        </is>
      </c>
      <c r="C45" s="8" t="n">
        <v>3</v>
      </c>
      <c r="D45" s="8" t="inlineStr"/>
      <c r="E45" s="8" t="inlineStr"/>
      <c r="F45" s="8" t="inlineStr"/>
      <c r="G45" s="8" t="inlineStr"/>
      <c r="H45" s="8" t="inlineStr"/>
      <c r="I45" s="8">
        <f>SUM(C45:H45)</f>
        <v/>
      </c>
      <c r="J45" s="8" t="inlineStr"/>
      <c r="K45" s="11" t="inlineStr"/>
    </row>
    <row r="46">
      <c r="A46" s="8" t="n">
        <v>2</v>
      </c>
      <c r="B46" s="11" t="inlineStr">
        <is>
          <t>¿Cuál es el top 5 de productos con mayores ventas?</t>
        </is>
      </c>
      <c r="C46" s="8" t="n">
        <v>3</v>
      </c>
      <c r="D46" s="8" t="inlineStr"/>
      <c r="E46" s="8" t="inlineStr"/>
      <c r="F46" s="8" t="inlineStr"/>
      <c r="G46" s="8" t="inlineStr"/>
      <c r="H46" s="8" t="inlineStr"/>
      <c r="I46" s="8">
        <f>SUM(C46:H46)</f>
        <v/>
      </c>
      <c r="J46" s="8" t="inlineStr"/>
      <c r="K46" s="11" t="inlineStr"/>
    </row>
    <row r="47">
      <c r="A47" s="8" t="n">
        <v>3</v>
      </c>
      <c r="B47" s="11" t="inlineStr">
        <is>
          <t>¿Cuántas unidades se vendieron por producto?</t>
        </is>
      </c>
      <c r="C47" s="8" t="n">
        <v>3</v>
      </c>
      <c r="D47" s="8" t="inlineStr"/>
      <c r="E47" s="8" t="inlineStr"/>
      <c r="F47" s="8" t="inlineStr"/>
      <c r="G47" s="8" t="inlineStr"/>
      <c r="H47" s="8" t="inlineStr"/>
      <c r="I47" s="8">
        <f>SUM(C47:H47)</f>
        <v/>
      </c>
      <c r="J47" s="8" t="inlineStr"/>
      <c r="K47" s="11" t="inlineStr"/>
    </row>
    <row r="48">
      <c r="A48" s="8" t="n">
        <v>4</v>
      </c>
      <c r="B48" s="11" t="inlineStr">
        <is>
          <t>¿Cuál es el descuento promedio por cliente?</t>
        </is>
      </c>
      <c r="C48" s="8" t="n">
        <v>3</v>
      </c>
      <c r="D48" s="8" t="inlineStr"/>
      <c r="E48" s="8" t="inlineStr"/>
      <c r="F48" s="8" t="inlineStr"/>
      <c r="G48" s="8" t="inlineStr"/>
      <c r="H48" s="8" t="inlineStr"/>
      <c r="I48" s="8">
        <f>SUM(C48:H48)</f>
        <v/>
      </c>
      <c r="J48" s="8" t="inlineStr"/>
      <c r="K48" s="11" t="inlineStr"/>
    </row>
    <row r="49">
      <c r="A49" s="8" t="n">
        <v>5</v>
      </c>
      <c r="B49" s="11" t="inlineStr">
        <is>
          <t>¿Cuántas órdenes se realizaron en total?</t>
        </is>
      </c>
      <c r="C49" s="8" t="n">
        <v>3</v>
      </c>
      <c r="D49" s="8" t="inlineStr"/>
      <c r="E49" s="8" t="inlineStr"/>
      <c r="F49" s="8" t="inlineStr"/>
      <c r="G49" s="8" t="inlineStr"/>
      <c r="H49" s="8" t="inlineStr"/>
      <c r="I49" s="8">
        <f>SUM(C49:H49)</f>
        <v/>
      </c>
      <c r="J49" s="8" t="inlineStr"/>
      <c r="K49" s="11" t="inlineStr"/>
    </row>
    <row r="50">
      <c r="A50" s="8" t="n">
        <v>6</v>
      </c>
      <c r="B50" s="11" t="inlineStr">
        <is>
          <t>¿Cuáles son los 10 clientes con mayores ventas brutas?</t>
        </is>
      </c>
      <c r="C50" s="8" t="n">
        <v>3</v>
      </c>
      <c r="D50" s="8" t="inlineStr"/>
      <c r="E50" s="8" t="inlineStr"/>
      <c r="F50" s="8" t="inlineStr"/>
      <c r="G50" s="8" t="inlineStr"/>
      <c r="H50" s="8" t="inlineStr"/>
      <c r="I50" s="8">
        <f>SUM(C50:H50)</f>
        <v/>
      </c>
      <c r="J50" s="8" t="inlineStr"/>
      <c r="K50" s="11" t="inlineStr"/>
    </row>
    <row r="51">
      <c r="A51" s="8" t="n">
        <v>7</v>
      </c>
      <c r="B51" s="11" t="inlineStr">
        <is>
          <t>¿Cuál es la diferencia entre ventas brutas y ventas netas por año?</t>
        </is>
      </c>
      <c r="C51" s="8" t="n">
        <v>3</v>
      </c>
      <c r="D51" s="8" t="inlineStr"/>
      <c r="E51" s="8" t="inlineStr"/>
      <c r="F51" s="8" t="inlineStr"/>
      <c r="G51" s="8" t="inlineStr"/>
      <c r="H51" s="8" t="inlineStr"/>
      <c r="I51" s="8">
        <f>SUM(C51:H51)</f>
        <v/>
      </c>
      <c r="J51" s="8" t="inlineStr"/>
      <c r="K51" s="11" t="inlineStr"/>
    </row>
    <row r="52">
      <c r="A52" s="8" t="n">
        <v>8</v>
      </c>
      <c r="B52" s="11" t="inlineStr">
        <is>
          <t>¿Cuántas unidades se vendieron por mes en el último año?</t>
        </is>
      </c>
      <c r="C52" s="8" t="n">
        <v>3</v>
      </c>
      <c r="D52" s="8" t="inlineStr"/>
      <c r="E52" s="8" t="inlineStr"/>
      <c r="F52" s="8" t="inlineStr"/>
      <c r="G52" s="8" t="inlineStr"/>
      <c r="H52" s="8" t="inlineStr"/>
      <c r="I52" s="8">
        <f>SUM(C52:H52)</f>
        <v/>
      </c>
      <c r="J52" s="8" t="inlineStr"/>
      <c r="K52" s="11" t="inlineStr"/>
    </row>
    <row r="53">
      <c r="A53" s="8" t="n">
        <v>9</v>
      </c>
      <c r="B53" s="11" t="inlineStr">
        <is>
          <t>¿Qué productos tienen un descuento promedio mayor al 10%?</t>
        </is>
      </c>
      <c r="C53" s="8" t="n">
        <v>3</v>
      </c>
      <c r="D53" s="8" t="inlineStr"/>
      <c r="E53" s="8" t="inlineStr"/>
      <c r="F53" s="8" t="inlineStr"/>
      <c r="G53" s="8" t="inlineStr"/>
      <c r="H53" s="8" t="inlineStr"/>
      <c r="I53" s="8">
        <f>SUM(C53:H53)</f>
        <v/>
      </c>
      <c r="J53" s="8" t="inlineStr"/>
      <c r="K53" s="11" t="inlineStr"/>
    </row>
    <row r="54">
      <c r="A54" s="8" t="n">
        <v>10</v>
      </c>
      <c r="B54" s="11" t="inlineStr">
        <is>
          <t>¿Cuál es el ingreso neto promedio por orden?</t>
        </is>
      </c>
      <c r="C54" s="8" t="n">
        <v>3</v>
      </c>
      <c r="D54" s="8" t="inlineStr"/>
      <c r="E54" s="8" t="inlineStr"/>
      <c r="F54" s="8" t="inlineStr"/>
      <c r="G54" s="8" t="inlineStr"/>
      <c r="H54" s="8" t="inlineStr"/>
      <c r="I54" s="8">
        <f>SUM(C54:H54)</f>
        <v/>
      </c>
      <c r="J54" s="8" t="inlineStr"/>
      <c r="K54" s="11" t="inlineStr"/>
    </row>
  </sheetData>
  <conditionalFormatting sqref="B37">
    <cfRule type="cellIs" priority="1" operator="greaterThanOrEqual" dxfId="0">
      <formula>0.8</formula>
    </cfRule>
    <cfRule type="cellIs" priority="2" operator="between" dxfId="1">
      <formula>0.5</formula>
      <formula>0.799</formula>
    </cfRule>
    <cfRule type="cellIs" priority="3" operator="lessThan" dxfId="2">
      <formula>0.5</formula>
    </cfRule>
  </conditionalFormatting>
  <conditionalFormatting sqref="B41">
    <cfRule type="cellIs" priority="4" operator="greaterThanOrEqual" dxfId="0">
      <formula>0.8</formula>
    </cfRule>
    <cfRule type="cellIs" priority="5" operator="between" dxfId="1">
      <formula>0.5</formula>
      <formula>0.799</formula>
    </cfRule>
    <cfRule type="cellIs" priority="6" operator="lessThan" dxfId="2">
      <formula>0.5</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2026-08-20T15:56:45Z</dcterms:created>
  <dcterms:modified xsi:type="dcterms:W3CDTF">2026-08-20T15:56:45Z</dcterms:modified>
</cp:coreProperties>
</file>