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597"/>
      <sz val="16"/>
    </font>
    <font>
      <i val="1"/>
      <color rgb="00595959"/>
      <sz val="11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00610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5" customWidth="1" min="4" max="4"/>
    <col width="45" customWidth="1" min="5" max="5"/>
    <col width="15" customWidth="1" min="6" max="6"/>
    <col width="15" customWidth="1" min="7" max="7"/>
    <col width="40" customWidth="1" min="8" max="8"/>
    <col width="40" customWidth="1" min="9" max="9"/>
    <col width="25" customWidth="1" min="10" max="10"/>
    <col width="30" customWidth="1" min="11" max="11"/>
  </cols>
  <sheetData>
    <row r="1">
      <c r="A1" s="1" t="inlineStr">
        <is>
          <t>Databricks Genie Readiness — Executive Summary</t>
        </is>
      </c>
    </row>
    <row r="2">
      <c r="A2" s="2" t="inlineStr">
        <is>
          <t>Layer 1 Data Foundation · Layer 2 Semantic Validation · Layer 3 Query Library Fit · Layer 4 Use Case &amp; Value (mapped to the 6 readiness dimensions)</t>
        </is>
      </c>
    </row>
    <row r="4">
      <c r="A4" s="3" t="inlineStr">
        <is>
          <t>SCAN OVERVIEW</t>
        </is>
      </c>
      <c r="B4" s="3" t="n"/>
      <c r="C4" s="3" t="n"/>
      <c r="D4" s="3" t="n"/>
      <c r="E4" s="3" t="n"/>
    </row>
    <row r="5">
      <c r="A5" s="4" t="inlineStr">
        <is>
          <t>Client / Account</t>
        </is>
      </c>
      <c r="B5" s="5" t="inlineStr">
        <is>
          <t>[Fill during workshop]</t>
        </is>
      </c>
      <c r="C5" t="inlineStr"/>
      <c r="D5" s="4" t="inlineStr">
        <is>
          <t>Business Domain</t>
        </is>
      </c>
      <c r="E5" s="5" t="inlineStr">
        <is>
          <t>brz_dev - default</t>
        </is>
      </c>
    </row>
    <row r="6">
      <c r="A6" s="4" t="inlineStr">
        <is>
          <t>Workshop Date</t>
        </is>
      </c>
      <c r="B6" s="5" t="inlineStr">
        <is>
          <t>2026-08-20</t>
        </is>
      </c>
      <c r="C6" t="inlineStr"/>
      <c r="D6" s="4" t="inlineStr">
        <is>
          <t>Catalog(s) Scanned</t>
        </is>
      </c>
      <c r="E6" s="5" t="inlineStr">
        <is>
          <t>brz_dev</t>
        </is>
      </c>
    </row>
    <row r="7">
      <c r="A7" s="4" t="inlineStr">
        <is>
          <t>Schema(s) Scanned</t>
        </is>
      </c>
      <c r="B7" s="5" t="inlineStr">
        <is>
          <t>default</t>
        </is>
      </c>
      <c r="C7" t="inlineStr"/>
      <c r="D7" s="4" t="inlineStr">
        <is>
          <t>Tables Scanned</t>
        </is>
      </c>
      <c r="E7" s="5" t="n">
        <v>2</v>
      </c>
    </row>
    <row r="8">
      <c r="A8" s="4" t="inlineStr">
        <is>
          <t>LLM Endpoint Used</t>
        </is>
      </c>
      <c r="B8" s="5" t="inlineStr">
        <is>
          <t>databricks-claude-sonnet-4-6</t>
        </is>
      </c>
      <c r="C8" t="inlineStr"/>
      <c r="D8" s="4" t="inlineStr">
        <is>
          <t>Assessment Type</t>
        </is>
      </c>
      <c r="E8" s="5" t="inlineStr">
        <is>
          <t>Databricks Genie Technical Readiness Assessment</t>
        </is>
      </c>
    </row>
    <row r="10">
      <c r="A10" s="3" t="inlineStr">
        <is>
          <t>READINESS SNAPSHOT</t>
        </is>
      </c>
      <c r="B10" s="3" t="n"/>
      <c r="C10" s="3" t="n"/>
      <c r="D10" s="3" t="n"/>
      <c r="E10" s="3" t="n"/>
      <c r="F10" s="3" t="n"/>
    </row>
    <row r="11">
      <c r="A11" s="2" t="inlineStr">
        <is>
          <t>We keep two signals separate on purpose: domain foundation readiness is scan-wide and can be legitimately rolled into one gate; use-case fit is decided question-by-question, so it's reported as a portfolio count, not blended into a single RED/YELLOW/GREEN.</t>
        </is>
      </c>
    </row>
    <row r="12">
      <c r="A12" s="6" t="inlineStr">
        <is>
          <t>Layer 1 — Foundation Gate</t>
        </is>
      </c>
      <c r="B12" s="6" t="inlineStr">
        <is>
          <t>Use Cases Evaluated</t>
        </is>
      </c>
      <c r="C12" s="6" t="inlineStr">
        <is>
          <t>Proceed</t>
        </is>
      </c>
      <c r="D12" s="6" t="inlineStr">
        <is>
          <t>Borderline — Review</t>
        </is>
      </c>
      <c r="E12" s="6" t="inlineStr">
        <is>
          <t>Deferred, Not Forced</t>
        </is>
      </c>
      <c r="F12" s="6" t="inlineStr"/>
    </row>
    <row r="13">
      <c r="A13" s="7" t="inlineStr">
        <is>
          <t>GREEN</t>
        </is>
      </c>
      <c r="B13" s="8" t="n">
        <v>2</v>
      </c>
      <c r="C13" s="8" t="inlineStr"/>
      <c r="D13" s="8" t="inlineStr"/>
      <c r="E13" s="8" t="inlineStr"/>
      <c r="F13" s="8" t="inlineStr"/>
    </row>
    <row r="15">
      <c r="A15" s="3" t="inlineStr">
        <is>
          <t>LAYER 1 — DATA FOUNDATION READINESS (auto-scanned)</t>
        </is>
      </c>
      <c r="B15" s="3" t="n"/>
      <c r="C15" s="3" t="n"/>
      <c r="D15" s="3" t="n"/>
      <c r="E15" s="3" t="n"/>
      <c r="F15" s="3" t="n"/>
    </row>
    <row r="16">
      <c r="A16" s="6" t="inlineStr">
        <is>
          <t>Dimension</t>
        </is>
      </c>
      <c r="B16" s="6" t="inlineStr">
        <is>
          <t>Category</t>
        </is>
      </c>
      <c r="C16" s="6" t="inlineStr">
        <is>
          <t>Score (RAG)</t>
        </is>
      </c>
      <c r="D16" s="6" t="inlineStr">
        <is>
          <t>Metric</t>
        </is>
      </c>
      <c r="E16" s="6" t="inlineStr">
        <is>
          <t>Remediation Required</t>
        </is>
      </c>
      <c r="F16" s="6" t="n"/>
    </row>
    <row r="17">
      <c r="A17" s="9" t="inlineStr">
        <is>
          <t>Unity Catalog Registration &amp; Governance</t>
        </is>
      </c>
      <c r="B17" s="9" t="inlineStr">
        <is>
          <t>Blocker</t>
        </is>
      </c>
      <c r="C17" s="7" t="inlineStr">
        <is>
          <t>GREEN</t>
        </is>
      </c>
      <c r="D17" s="9" t="inlineStr">
        <is>
          <t>2 / 2 tables registered</t>
        </is>
      </c>
      <c r="E17" s="9" t="inlineStr">
        <is>
          <t>None</t>
        </is>
      </c>
    </row>
    <row r="18">
      <c r="A18" s="9" t="inlineStr">
        <is>
          <t>Table Descriptions</t>
        </is>
      </c>
      <c r="B18" s="9" t="inlineStr">
        <is>
          <t>Blocker</t>
        </is>
      </c>
      <c r="C18" s="7" t="inlineStr">
        <is>
          <t>GREEN</t>
        </is>
      </c>
      <c r="D18" s="9" t="inlineStr">
        <is>
          <t>100.0% coverage</t>
        </is>
      </c>
      <c r="E18" s="9" t="inlineStr">
        <is>
          <t>None</t>
        </is>
      </c>
    </row>
    <row r="19">
      <c r="A19" s="9" t="inlineStr">
        <is>
          <t>Column Descriptions</t>
        </is>
      </c>
      <c r="B19" s="9" t="inlineStr">
        <is>
          <t>Blocker</t>
        </is>
      </c>
      <c r="C19" s="7" t="inlineStr">
        <is>
          <t>GREEN</t>
        </is>
      </c>
      <c r="D19" s="9" t="inlineStr">
        <is>
          <t>100.0% coverage</t>
        </is>
      </c>
      <c r="E19" s="9" t="inlineStr">
        <is>
          <t>None</t>
        </is>
      </c>
    </row>
    <row r="20">
      <c r="A20" s="9" t="inlineStr">
        <is>
          <t>Relationships (PK / FK)</t>
        </is>
      </c>
      <c r="B20" s="9" t="inlineStr">
        <is>
          <t>Blocker</t>
        </is>
      </c>
      <c r="C20" s="7" t="inlineStr">
        <is>
          <t>GREEN</t>
        </is>
      </c>
      <c r="D20" s="9" t="inlineStr">
        <is>
          <t>2 PKs / 1 FKs defined</t>
        </is>
      </c>
      <c r="E20" s="9" t="inlineStr">
        <is>
          <t>None</t>
        </is>
      </c>
    </row>
    <row r="21">
      <c r="A21" s="9" t="inlineStr">
        <is>
          <t>Data Domain Scope &amp; Table Selection</t>
        </is>
      </c>
      <c r="B21" s="9" t="inlineStr">
        <is>
          <t>Desirable</t>
        </is>
      </c>
      <c r="C21" s="7" t="inlineStr">
        <is>
          <t>GREEN</t>
        </is>
      </c>
      <c r="D21" s="9" t="inlineStr">
        <is>
          <t>2 tables in scope</t>
        </is>
      </c>
      <c r="E21" s="9" t="inlineStr">
        <is>
          <t>None</t>
        </is>
      </c>
    </row>
    <row r="22">
      <c r="A22" s="9" t="inlineStr">
        <is>
          <t>Unstructured Knowledge Integration</t>
        </is>
      </c>
      <c r="B22" s="9" t="inlineStr">
        <is>
          <t>Desirable</t>
        </is>
      </c>
      <c r="C22" s="8" t="inlineStr">
        <is>
          <t>N/A</t>
        </is>
      </c>
      <c r="D22" s="9" t="inlineStr">
        <is>
          <t>Not evaluated in this scan</t>
        </is>
      </c>
      <c r="E22" s="9" t="inlineStr">
        <is>
          <t>Evaluate if needed</t>
        </is>
      </c>
    </row>
    <row r="23">
      <c r="A23" s="10" t="inlineStr">
        <is>
          <t>Layer 1 Rollup</t>
        </is>
      </c>
      <c r="B23" s="7" t="inlineStr">
        <is>
          <t>GREEN</t>
        </is>
      </c>
      <c r="C23" s="9" t="inlineStr">
        <is>
          <t>RED if any dimension is RED · YELLOW if any is YELLOW · else GREEN</t>
        </is>
      </c>
      <c r="D23" s="9" t="inlineStr"/>
      <c r="E23" s="9" t="inlineStr"/>
    </row>
    <row r="25">
      <c r="A25" s="3" t="inlineStr">
        <is>
          <t>LAYER 2 — BUSINESS QUESTION / SEMANTIC VALIDATION (manual + tool)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6" t="inlineStr">
        <is>
          <t>Q#</t>
        </is>
      </c>
      <c r="B26" s="6" t="inlineStr">
        <is>
          <t>Business Question (manual)</t>
        </is>
      </c>
      <c r="C26" s="6" t="inlineStr">
        <is>
          <t>Expected / Ground-Truth Answer (manual)</t>
        </is>
      </c>
      <c r="D26" s="6" t="inlineStr">
        <is>
          <t>Genie's Actual Answer (manual — paste from live test)</t>
        </is>
      </c>
      <c r="E26" s="6" t="inlineStr">
        <is>
          <t>Match?</t>
        </is>
      </c>
      <c r="F26" s="6" t="inlineStr">
        <is>
          <t>Confidence (auto, 1–10)</t>
        </is>
      </c>
      <c r="G26" s="6" t="inlineStr">
        <is>
          <t>Answerable? (auto)</t>
        </is>
      </c>
      <c r="H26" s="6" t="inlineStr">
        <is>
          <t>Gap / Notes (auto reasoning)</t>
        </is>
      </c>
      <c r="I26" s="6" t="inlineStr">
        <is>
          <t>Generated SQL (Context)</t>
        </is>
      </c>
    </row>
    <row r="27">
      <c r="A27" s="8" t="n">
        <v>1</v>
      </c>
      <c r="B27" s="11" t="inlineStr">
        <is>
          <t>Cuáles son las ventas por producto?</t>
        </is>
      </c>
      <c r="C27" s="11" t="inlineStr"/>
      <c r="D27" s="11" t="inlineStr">
        <is>
          <t>Las ventas netas por producto (identificado por product_id) muestran el total acumulado de cada producto. Por ejemplo, el producto con product_id 1 podría tener ventas netas de $X, el producto 2 de $Y, etc. Sin embargo, no es posible mostrar los nombres de los productos ya que no existe una tabla de dimensión de productos en el esquema disponible.</t>
        </is>
      </c>
      <c r="E27" s="8" t="inlineStr"/>
      <c r="F27" s="8" t="n">
        <v>5</v>
      </c>
      <c r="G27" s="12" t="inlineStr">
        <is>
          <t>PARTIAL</t>
        </is>
      </c>
      <c r="H27" s="11" t="inlineStr">
        <is>
          <t>The fact_sales_demo_genie table contains product_id, gross_sales, net_sales, discount, and quantity, which are sufficient to aggregate sales by product. However, the question is marked PARTIAL for two reasons: (1) there is no dim_product table in the schema, so product names cannot be displayed — only numeric IDs are available; (2) the term 'ventas' is ambiguous (gross vs. net vs. units). The SQL provided returns all three metrics to cover the ambiguity, but a business user would need to confirm which measure is relevant. If a dim_product table were added to the catalog, the answer could be upgraded to YES.</t>
        </is>
      </c>
      <c r="I27" s="11" t="inlineStr">
        <is>
          <t>SELECT
    product_id,
    SUM(gross_sales)  AS total_gross_sales,
    SUM(discount)     AS total_discount,
    SUM(net_sales)    AS total_net_sales,
    SUM(quantity)     AS total_quantity
FROM
    brz_dev.default.fact_sales_demo_genie
GROUP BY
    product_id
ORDER BY
    total_net_sales DESC;</t>
        </is>
      </c>
    </row>
    <row r="28">
      <c r="A28" s="8" t="n">
        <v>2</v>
      </c>
      <c r="B28" s="11" t="inlineStr">
        <is>
          <t>Cuántas órdenes existen por segmento?</t>
        </is>
      </c>
      <c r="C28" s="11" t="inlineStr"/>
      <c r="D28" s="11" t="inlineStr">
        <is>
          <t>El número de órdenes por segmento de mercado varía según los datos. Por ejemplo, el segmento 'AUTOMOBILE' podría tener 29,000 órdenes, 'BUILDING' 27,500, 'FURNITURE' 28,000, 'HOUSEHOLD' 28,500 y 'MACHINERY' 27,000 (valores hipotéticos). Para obtener los valores reales se debe ejecutar la consulta SQL correspondiente.</t>
        </is>
      </c>
      <c r="E28" s="8" t="inlineStr"/>
      <c r="F28" s="8" t="n">
        <v>9</v>
      </c>
      <c r="G28" s="7" t="inlineStr">
        <is>
          <t>YES</t>
        </is>
      </c>
      <c r="H28" s="11" t="inlineStr">
        <is>
          <t>La pregunta solicita el conteo de órdenes agrupadas por segmento de mercado. La tabla fact_sales_demo_genie contiene el campo order_id (que puede repetirse por línea de producto) y customer_id. La tabla dim_customer_demo_genie contiene el campo market_segment y customer_id como llave primaria. Uniendo ambas tablas por customer_id y aplicando COUNT(DISTINCT order_id) agrupado por market_segment se responde completamente la pregunta. Se usa DISTINCT en order_id porque una orden puede tener múltiples líneas de producto y no queremos contarla más de una vez.</t>
        </is>
      </c>
      <c r="I28" s="11" t="inlineStr">
        <is>
          <t>SELECT
    c.market_segment,
    COUNT(DISTINCT f.order_id) AS total_orders
FROM
    brz_dev.default.fact_sales_demo_genie f
    JOIN brz_dev.default.dim_customer_demo_genie c
        ON f.customer_id = c.customer_id
GROUP BY
    c.market_segment
ORDER BY
    total_orders DESC;</t>
        </is>
      </c>
    </row>
    <row r="29">
      <c r="A29" s="13" t="inlineStr">
        <is>
          <t>Layer 2 Rollup</t>
        </is>
      </c>
      <c r="B29" s="14">
        <f>IFERROR(COUNTIF(E27:E28, "YES")/COUNTA(E27:E28), 0)</f>
        <v/>
      </c>
      <c r="C29" s="11" t="inlineStr">
        <is>
          <t>% of tested questions with Match = YES (informational — not blended into Layer 1's gate)</t>
        </is>
      </c>
      <c r="D29" s="11" t="inlineStr"/>
      <c r="E29" s="8" t="inlineStr"/>
      <c r="F29" s="8" t="inlineStr"/>
      <c r="G29" s="8" t="inlineStr"/>
      <c r="H29" s="11" t="inlineStr"/>
      <c r="I29" s="11" t="inlineStr"/>
    </row>
    <row r="31">
      <c r="A31" s="3" t="inlineStr">
        <is>
          <t>LAYER 3 — QUERY LIBRARY READINESS (auto-scanned)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6" t="inlineStr">
        <is>
          <t>Query / View Name</t>
        </is>
      </c>
      <c r="B32" s="6" t="inlineStr">
        <is>
          <t>Classification</t>
        </is>
      </c>
      <c r="C32" s="6" t="inlineStr">
        <is>
          <t>Confidence (1–10)</t>
        </is>
      </c>
      <c r="D32" s="6" t="inlineStr">
        <is>
          <t>Maps to Q#</t>
        </is>
      </c>
      <c r="E32" s="6" t="inlineStr">
        <is>
          <t>Key Issues</t>
        </is>
      </c>
      <c r="F32" s="6" t="inlineStr">
        <is>
          <t>Cleanup Needed?</t>
        </is>
      </c>
      <c r="G32" s="6" t="n"/>
      <c r="H32" s="6" t="n"/>
      <c r="I32" s="6" t="n"/>
    </row>
    <row r="33">
      <c r="A33" s="15" t="inlineStr">
        <is>
          <t>Layer 3 Rollup</t>
        </is>
      </c>
      <c r="B33" s="14" t="inlineStr">
        <is>
          <t>0</t>
        </is>
      </c>
      <c r="C33" s="11" t="inlineStr">
        <is>
          <t>% of scanned queries that are GOOD_CANDIDATE (informational)</t>
        </is>
      </c>
      <c r="D33" s="11" t="inlineStr"/>
      <c r="E33" s="11" t="inlineStr"/>
      <c r="F33" s="11" t="inlineStr"/>
    </row>
    <row r="35">
      <c r="A35" s="3" t="inlineStr">
        <is>
          <t>LAYER 4 — TOP USE CASES &amp; VALUE (manual, scored at the workshop)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6" t="inlineStr">
        <is>
          <t>Q#</t>
        </is>
      </c>
      <c r="B36" s="6" t="inlineStr">
        <is>
          <t>Business Question</t>
        </is>
      </c>
      <c r="C36" s="6" t="inlineStr">
        <is>
          <t>Data Exists &amp; in UC (1–3)</t>
        </is>
      </c>
      <c r="D36" s="6" t="inlineStr">
        <is>
          <t>Question Clearly Defined (1–3)</t>
        </is>
      </c>
      <c r="E36" s="6" t="inlineStr">
        <is>
          <t>Acceptance Criteria Written (1–3)</t>
        </is>
      </c>
      <c r="F36" s="6" t="inlineStr">
        <is>
          <t>Business Owner Available (1–3)</t>
        </is>
      </c>
      <c r="G36" s="6" t="inlineStr">
        <is>
          <t>SQL Deterministic (1–3)</t>
        </is>
      </c>
      <c r="H36" s="6" t="inlineStr">
        <is>
          <t>Est. Business Impact (1–3)</t>
        </is>
      </c>
      <c r="I36" s="6" t="inlineStr">
        <is>
          <t>Total (/18)</t>
        </is>
      </c>
      <c r="J36" s="6" t="inlineStr">
        <is>
          <t>Decision</t>
        </is>
      </c>
      <c r="K36" s="6" t="inlineStr">
        <is>
          <t>Value / Workforce Impact Notes (manual)</t>
        </is>
      </c>
    </row>
    <row r="37">
      <c r="A37" s="8" t="n">
        <v>1</v>
      </c>
      <c r="B37" s="11" t="inlineStr">
        <is>
          <t>Cuáles son las ventas por producto?</t>
        </is>
      </c>
      <c r="C37" s="8" t="n">
        <v>2</v>
      </c>
      <c r="D37" s="8" t="inlineStr"/>
      <c r="E37" s="8" t="inlineStr"/>
      <c r="F37" s="8" t="inlineStr"/>
      <c r="G37" s="8" t="inlineStr"/>
      <c r="H37" s="8" t="inlineStr"/>
      <c r="I37" s="8">
        <f>SUM(C37:H37)</f>
        <v/>
      </c>
      <c r="J37" s="8" t="inlineStr"/>
      <c r="K37" s="11" t="inlineStr"/>
    </row>
    <row r="38">
      <c r="A38" s="8" t="n">
        <v>2</v>
      </c>
      <c r="B38" s="11" t="inlineStr">
        <is>
          <t>Cuántas órdenes existen por segmento?</t>
        </is>
      </c>
      <c r="C38" s="8" t="n">
        <v>3</v>
      </c>
      <c r="D38" s="8" t="inlineStr"/>
      <c r="E38" s="8" t="inlineStr"/>
      <c r="F38" s="8" t="inlineStr"/>
      <c r="G38" s="8" t="inlineStr"/>
      <c r="H38" s="8" t="inlineStr"/>
      <c r="I38" s="8">
        <f>SUM(C38:H38)</f>
        <v/>
      </c>
      <c r="J38" s="8" t="inlineStr"/>
      <c r="K38" s="11" t="inlineStr"/>
    </row>
  </sheetData>
  <conditionalFormatting sqref="B29">
    <cfRule type="cellIs" priority="1" operator="greaterThanOrEqual" dxfId="0">
      <formula>0.8</formula>
    </cfRule>
    <cfRule type="cellIs" priority="2" operator="between" dxfId="1">
      <formula>0.5</formula>
      <formula>0.799</formula>
    </cfRule>
    <cfRule type="cellIs" priority="3" operator="lessThan" dxfId="2">
      <formula>0.5</formula>
    </cfRule>
  </conditionalFormatting>
  <conditionalFormatting sqref="B33">
    <cfRule type="cellIs" priority="4" operator="greaterThanOrEqual" dxfId="0">
      <formula>0.8</formula>
    </cfRule>
    <cfRule type="cellIs" priority="5" operator="between" dxfId="1">
      <formula>0.5</formula>
      <formula>0.799</formula>
    </cfRule>
    <cfRule type="cellIs" priority="6" operator="lessThan" dxfId="2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2026-08-20T15:46:04Z</dcterms:created>
  <dcterms:modified xsi:type="dcterms:W3CDTF">2026-08-20T15:46:04Z</dcterms:modified>
</cp:coreProperties>
</file>