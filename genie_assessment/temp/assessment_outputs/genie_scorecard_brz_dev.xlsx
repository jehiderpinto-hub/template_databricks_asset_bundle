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ecutive Summary"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2F5597"/>
      <sz val="16"/>
    </font>
    <font>
      <i val="1"/>
      <color rgb="00595959"/>
      <sz val="11"/>
    </font>
    <font>
      <b val="1"/>
      <color rgb="00FFFFFF"/>
      <sz val="12"/>
    </font>
    <font>
      <b val="1"/>
    </font>
    <font>
      <b val="1"/>
      <color rgb="00FFFFFF"/>
      <sz val="11"/>
    </font>
    <font>
      <b val="1"/>
      <color rgb="00006100"/>
    </font>
  </fonts>
  <fills count="6">
    <fill>
      <patternFill/>
    </fill>
    <fill>
      <patternFill patternType="gray125"/>
    </fill>
    <fill>
      <patternFill patternType="solid">
        <fgColor rgb="002F5597"/>
      </patternFill>
    </fill>
    <fill>
      <patternFill patternType="solid">
        <fgColor rgb="00D9E1F2"/>
      </patternFill>
    </fill>
    <fill>
      <patternFill patternType="solid">
        <fgColor rgb="004472C4"/>
      </patternFill>
    </fill>
    <fill>
      <patternFill patternType="solid">
        <fgColor rgb="00C6EFC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wrapText="1"/>
    </xf>
    <xf numFmtId="0" fontId="4" fillId="3" borderId="1" pivotButton="0" quotePrefix="0" xfId="0"/>
    <xf numFmtId="0" fontId="0" fillId="0" borderId="1"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4" fillId="0" borderId="1" applyAlignment="1" pivotButton="0" quotePrefix="0" xfId="0">
      <alignment horizontal="left" vertical="center" wrapText="1"/>
    </xf>
    <xf numFmtId="0" fontId="0" fillId="0" borderId="1" applyAlignment="1" pivotButton="0" quotePrefix="0" xfId="0">
      <alignment horizontal="left" vertical="top" wrapText="1"/>
    </xf>
    <xf numFmtId="0" fontId="4" fillId="0" borderId="1" applyAlignment="1" pivotButton="0" quotePrefix="0" xfId="0">
      <alignment horizontal="center" vertical="center" wrapText="1"/>
    </xf>
    <xf numFmtId="10" fontId="4" fillId="0"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patternFill>
      </fill>
    </dxf>
    <dxf>
      <font>
        <b val="1"/>
        <color rgb="009C6500"/>
      </font>
      <fill>
        <patternFill patternType="solid">
          <fgColor rgb="00FFEB9C"/>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4"/>
  <sheetViews>
    <sheetView workbookViewId="0">
      <selection activeCell="A1" sqref="A1"/>
    </sheetView>
  </sheetViews>
  <sheetFormatPr baseColWidth="8" defaultRowHeight="15"/>
  <cols>
    <col width="30" customWidth="1" min="1" max="1"/>
    <col width="20" customWidth="1" min="2" max="2"/>
    <col width="25" customWidth="1" min="3" max="3"/>
    <col width="35" customWidth="1" min="4" max="4"/>
    <col width="45" customWidth="1" min="5" max="5"/>
    <col width="15" customWidth="1" min="6" max="6"/>
    <col width="15" customWidth="1" min="7" max="7"/>
    <col width="40" customWidth="1" min="8" max="8"/>
    <col width="40" customWidth="1" min="9" max="9"/>
    <col width="25" customWidth="1" min="10" max="10"/>
    <col width="30" customWidth="1" min="11" max="11"/>
  </cols>
  <sheetData>
    <row r="1">
      <c r="A1" s="1" t="inlineStr">
        <is>
          <t>Databricks Genie Readiness — Executive Summary</t>
        </is>
      </c>
    </row>
    <row r="2">
      <c r="A2" s="2" t="inlineStr">
        <is>
          <t>Layer 1 Data Foundation · Layer 2 Semantic Validation · Layer 3 Query Library Fit · Layer 4 Use Case &amp; Value (mapped to the 6 readiness dimensions)</t>
        </is>
      </c>
    </row>
    <row r="4">
      <c r="A4" s="3" t="inlineStr">
        <is>
          <t>SCAN OVERVIEW</t>
        </is>
      </c>
      <c r="B4" s="3" t="n"/>
      <c r="C4" s="3" t="n"/>
      <c r="D4" s="3" t="n"/>
      <c r="E4" s="3" t="n"/>
    </row>
    <row r="5">
      <c r="A5" s="4" t="inlineStr">
        <is>
          <t>Client / Account</t>
        </is>
      </c>
      <c r="B5" s="5" t="inlineStr">
        <is>
          <t>[Fill during workshop]</t>
        </is>
      </c>
      <c r="C5" t="inlineStr"/>
      <c r="D5" s="4" t="inlineStr">
        <is>
          <t>Business Domain</t>
        </is>
      </c>
      <c r="E5" s="5" t="inlineStr">
        <is>
          <t>brz_dev - default</t>
        </is>
      </c>
    </row>
    <row r="6">
      <c r="A6" s="4" t="inlineStr">
        <is>
          <t>Workshop Date</t>
        </is>
      </c>
      <c r="B6" s="5" t="inlineStr">
        <is>
          <t>2026-08-20</t>
        </is>
      </c>
      <c r="C6" t="inlineStr"/>
      <c r="D6" s="4" t="inlineStr">
        <is>
          <t>Catalog(s) Scanned</t>
        </is>
      </c>
      <c r="E6" s="5" t="inlineStr">
        <is>
          <t>brz_dev</t>
        </is>
      </c>
    </row>
    <row r="7">
      <c r="A7" s="4" t="inlineStr">
        <is>
          <t>Schema(s) Scanned</t>
        </is>
      </c>
      <c r="B7" s="5" t="inlineStr">
        <is>
          <t>default</t>
        </is>
      </c>
      <c r="C7" t="inlineStr"/>
      <c r="D7" s="4" t="inlineStr">
        <is>
          <t>Tables Scanned</t>
        </is>
      </c>
      <c r="E7" s="5" t="n">
        <v>4</v>
      </c>
    </row>
    <row r="8">
      <c r="A8" s="4" t="inlineStr">
        <is>
          <t>LLM Endpoint Used</t>
        </is>
      </c>
      <c r="B8" s="5" t="inlineStr">
        <is>
          <t>databricks-claude-sonnet-4-6</t>
        </is>
      </c>
      <c r="C8" t="inlineStr"/>
      <c r="D8" s="4" t="inlineStr">
        <is>
          <t>Assessment Type</t>
        </is>
      </c>
      <c r="E8" s="5" t="inlineStr">
        <is>
          <t>Databricks Genie Technical Readiness Assessment</t>
        </is>
      </c>
    </row>
    <row r="10">
      <c r="A10" s="3" t="inlineStr">
        <is>
          <t>READINESS SNAPSHOT</t>
        </is>
      </c>
      <c r="B10" s="3" t="n"/>
      <c r="C10" s="3" t="n"/>
      <c r="D10" s="3" t="n"/>
      <c r="E10" s="3" t="n"/>
      <c r="F10" s="3" t="n"/>
    </row>
    <row r="11">
      <c r="A11" s="2" t="inlineStr">
        <is>
          <t>We keep two signals separate on purpose: domain foundation readiness is scan-wide and can be legitimately rolled into one gate; use-case fit is decided question-by-question, so it's reported as a portfolio count, not blended into a single RED/YELLOW/GREEN.</t>
        </is>
      </c>
    </row>
    <row r="12">
      <c r="A12" s="6" t="inlineStr">
        <is>
          <t>Layer 1 — Foundation Gate</t>
        </is>
      </c>
      <c r="B12" s="6" t="inlineStr">
        <is>
          <t>Use Cases Evaluated</t>
        </is>
      </c>
      <c r="C12" s="6" t="inlineStr">
        <is>
          <t>Proceed</t>
        </is>
      </c>
      <c r="D12" s="6" t="inlineStr">
        <is>
          <t>Borderline — Review</t>
        </is>
      </c>
      <c r="E12" s="6" t="inlineStr">
        <is>
          <t>Deferred, Not Forced</t>
        </is>
      </c>
      <c r="F12" s="6" t="inlineStr"/>
    </row>
    <row r="13">
      <c r="A13" s="7" t="inlineStr">
        <is>
          <t>GREEN</t>
        </is>
      </c>
      <c r="B13" s="8" t="n">
        <v>10</v>
      </c>
      <c r="C13" s="8" t="inlineStr"/>
      <c r="D13" s="8" t="inlineStr"/>
      <c r="E13" s="8" t="inlineStr"/>
      <c r="F13" s="8" t="inlineStr"/>
    </row>
    <row r="15">
      <c r="A15" s="3" t="inlineStr">
        <is>
          <t>LAYER 1 — DATA FOUNDATION READINESS (auto-scanned)</t>
        </is>
      </c>
      <c r="B15" s="3" t="n"/>
      <c r="C15" s="3" t="n"/>
      <c r="D15" s="3" t="n"/>
      <c r="E15" s="3" t="n"/>
      <c r="F15" s="3" t="n"/>
    </row>
    <row r="16">
      <c r="A16" s="6" t="inlineStr">
        <is>
          <t>Dimension</t>
        </is>
      </c>
      <c r="B16" s="6" t="inlineStr">
        <is>
          <t>Category</t>
        </is>
      </c>
      <c r="C16" s="6" t="inlineStr">
        <is>
          <t>Score (RAG)</t>
        </is>
      </c>
      <c r="D16" s="6" t="inlineStr">
        <is>
          <t>Metric</t>
        </is>
      </c>
      <c r="E16" s="6" t="inlineStr">
        <is>
          <t>Remediation Required</t>
        </is>
      </c>
      <c r="F16" s="6" t="n"/>
    </row>
    <row r="17">
      <c r="A17" s="9" t="inlineStr">
        <is>
          <t>Unity Catalog Registration &amp; Governance</t>
        </is>
      </c>
      <c r="B17" s="9" t="inlineStr">
        <is>
          <t>Blocker</t>
        </is>
      </c>
      <c r="C17" s="7" t="inlineStr">
        <is>
          <t>GREEN</t>
        </is>
      </c>
      <c r="D17" s="9" t="inlineStr">
        <is>
          <t>4 / 4 tables registered</t>
        </is>
      </c>
      <c r="E17" s="9" t="inlineStr">
        <is>
          <t>None</t>
        </is>
      </c>
    </row>
    <row r="18">
      <c r="A18" s="9" t="inlineStr">
        <is>
          <t>Table Descriptions</t>
        </is>
      </c>
      <c r="B18" s="9" t="inlineStr">
        <is>
          <t>Blocker</t>
        </is>
      </c>
      <c r="C18" s="7" t="inlineStr">
        <is>
          <t>GREEN</t>
        </is>
      </c>
      <c r="D18" s="9" t="inlineStr">
        <is>
          <t>100.0% coverage</t>
        </is>
      </c>
      <c r="E18" s="9" t="inlineStr">
        <is>
          <t>None</t>
        </is>
      </c>
    </row>
    <row r="19">
      <c r="A19" s="9" t="inlineStr">
        <is>
          <t>Column Descriptions</t>
        </is>
      </c>
      <c r="B19" s="9" t="inlineStr">
        <is>
          <t>Blocker</t>
        </is>
      </c>
      <c r="C19" s="7" t="inlineStr">
        <is>
          <t>GREEN</t>
        </is>
      </c>
      <c r="D19" s="9" t="inlineStr">
        <is>
          <t>100.0% coverage</t>
        </is>
      </c>
      <c r="E19" s="9" t="inlineStr">
        <is>
          <t>None</t>
        </is>
      </c>
    </row>
    <row r="20">
      <c r="A20" s="9" t="inlineStr">
        <is>
          <t>Relationships (PK / FK)</t>
        </is>
      </c>
      <c r="B20" s="9" t="inlineStr">
        <is>
          <t>Blocker</t>
        </is>
      </c>
      <c r="C20" s="7" t="inlineStr">
        <is>
          <t>GREEN</t>
        </is>
      </c>
      <c r="D20" s="9" t="inlineStr">
        <is>
          <t>4 PKs / 1 FKs defined</t>
        </is>
      </c>
      <c r="E20" s="9" t="inlineStr">
        <is>
          <t>None</t>
        </is>
      </c>
    </row>
    <row r="21">
      <c r="A21" s="9" t="inlineStr">
        <is>
          <t>Data Domain Scope &amp; Table Selection</t>
        </is>
      </c>
      <c r="B21" s="9" t="inlineStr">
        <is>
          <t>Desirable</t>
        </is>
      </c>
      <c r="C21" s="7" t="inlineStr">
        <is>
          <t>GREEN</t>
        </is>
      </c>
      <c r="D21" s="9" t="inlineStr">
        <is>
          <t>4 tables in scope</t>
        </is>
      </c>
      <c r="E21" s="9" t="inlineStr">
        <is>
          <t>None</t>
        </is>
      </c>
    </row>
    <row r="22">
      <c r="A22" s="9" t="inlineStr">
        <is>
          <t>Unstructured Knowledge Integration</t>
        </is>
      </c>
      <c r="B22" s="9" t="inlineStr">
        <is>
          <t>Desirable</t>
        </is>
      </c>
      <c r="C22" s="8" t="inlineStr">
        <is>
          <t>N/A</t>
        </is>
      </c>
      <c r="D22" s="9" t="inlineStr">
        <is>
          <t>Not evaluated in this scan</t>
        </is>
      </c>
      <c r="E22" s="9" t="inlineStr">
        <is>
          <t>Evaluate if needed</t>
        </is>
      </c>
    </row>
    <row r="23">
      <c r="A23" s="10" t="inlineStr">
        <is>
          <t>Layer 1 Rollup</t>
        </is>
      </c>
      <c r="B23" s="7" t="inlineStr">
        <is>
          <t>GREEN</t>
        </is>
      </c>
      <c r="C23" s="9" t="inlineStr">
        <is>
          <t>RED if any dimension is RED · YELLOW if any is YELLOW · else GREEN</t>
        </is>
      </c>
      <c r="D23" s="9" t="inlineStr"/>
      <c r="E23" s="9" t="inlineStr"/>
    </row>
    <row r="25">
      <c r="A25" s="3" t="inlineStr">
        <is>
          <t>LAYER 2 — BUSINESS QUESTION / SEMANTIC VALIDATION (manual + tool)</t>
        </is>
      </c>
      <c r="B25" s="3" t="n"/>
      <c r="C25" s="3" t="n"/>
      <c r="D25" s="3" t="n"/>
      <c r="E25" s="3" t="n"/>
      <c r="F25" s="3" t="n"/>
      <c r="G25" s="3" t="n"/>
      <c r="H25" s="3" t="n"/>
      <c r="I25" s="3" t="n"/>
    </row>
    <row r="26">
      <c r="A26" s="6" t="inlineStr">
        <is>
          <t>Q#</t>
        </is>
      </c>
      <c r="B26" s="6" t="inlineStr">
        <is>
          <t>Business Question (manual)</t>
        </is>
      </c>
      <c r="C26" s="6" t="inlineStr">
        <is>
          <t>Expected / Ground-Truth Answer (manual)</t>
        </is>
      </c>
      <c r="D26" s="6" t="inlineStr">
        <is>
          <t>Genie's Actual Answer (manual — paste from live test)</t>
        </is>
      </c>
      <c r="E26" s="6" t="inlineStr">
        <is>
          <t>Match?</t>
        </is>
      </c>
      <c r="F26" s="6" t="inlineStr">
        <is>
          <t>Confidence (auto, 1–10)</t>
        </is>
      </c>
      <c r="G26" s="6" t="inlineStr">
        <is>
          <t>Answerable? (auto)</t>
        </is>
      </c>
      <c r="H26" s="6" t="inlineStr">
        <is>
          <t>Gap / Notes (auto reasoning)</t>
        </is>
      </c>
      <c r="I26" s="6" t="inlineStr">
        <is>
          <t>Generated SQL (Context)</t>
        </is>
      </c>
    </row>
    <row r="27">
      <c r="A27" s="8" t="n">
        <v>1</v>
      </c>
      <c r="B27" s="11" t="inlineStr">
        <is>
          <t>¿Cuáles fueron las ventas netas por año?</t>
        </is>
      </c>
      <c r="C27" s="11" t="inlineStr"/>
      <c r="D27" s="11" t="inlineStr">
        <is>
          <t>Las ventas netas por año se pueden calcular sumando el campo net_sales de la tabla de hechos agrupado por el año de la dimensión de fechas. Por ejemplo: Año 2021: $X, Año 2022: $Y, Año 2023: $Z.</t>
        </is>
      </c>
      <c r="E27" s="8" t="inlineStr"/>
      <c r="F27" s="8" t="n">
        <v>10</v>
      </c>
      <c r="G27" s="7" t="inlineStr">
        <is>
          <t>YES</t>
        </is>
      </c>
      <c r="H27" s="11" t="inlineStr">
        <is>
          <t>La pregunta solicita las ventas netas agrupadas por año. La tabla fact_sales_demo_genie contiene el campo net_sales (ventas netas) y date_id (llave foránea hacia la dimensión de fechas). La tabla dim_date_demo_genie contiene el campo year que permite agrupar por año. Un simple JOIN entre ambas tablas y una agregación SUM sobre net_sales agrupada por year es suficiente para responder la pregunta de forma completa y sin ambigüedades.</t>
        </is>
      </c>
      <c r="I27" s="11" t="inlineStr">
        <is>
          <t>SELECT
    d.year,
    SUM(f.net_sales) AS total_net_sales
FROM
    brz_dev.default.fact_sales_demo_genie f
    JOIN brz_dev.default.dim_date_demo_genie d
        ON f.date_id = d.date_id
GROUP BY
    d.year
ORDER BY
    d.year ASC;</t>
        </is>
      </c>
    </row>
    <row r="28">
      <c r="A28" s="8" t="n">
        <v>2</v>
      </c>
      <c r="B28" s="11" t="inlineStr">
        <is>
          <t>¿Cuál es el top 5 de productos con mayores ventas?</t>
        </is>
      </c>
      <c r="C28" s="11" t="inlineStr"/>
      <c r="D28" s="11" t="inlineStr">
        <is>
          <t>El top 5 de productos con mayores ventas netas serían los 5 productos con mayor suma de net_sales en la tabla de hechos, identificados por su nombre en dim_product_demo_genie. Por ejemplo: Producto A ($X), Producto B ($Y), Producto C ($Z), Producto D ($W), Producto E ($V).</t>
        </is>
      </c>
      <c r="E28" s="8" t="inlineStr"/>
      <c r="F28" s="8" t="n">
        <v>9</v>
      </c>
      <c r="G28" s="7" t="inlineStr">
        <is>
          <t>YES</t>
        </is>
      </c>
      <c r="H28" s="11" t="inlineStr">
        <is>
          <t>La pregunta solicita el top 5 de productos con mayores ventas. La tabla fact_sales_demo_genie contiene las columnas net_sales y gross_sales que representan el valor de ventas, y product_id como llave foránea hacia dim_product_demo_genie, que contiene el nombre del producto. Con un simple JOIN, GROUP BY y ORDER BY DESC con LIMIT 5 se puede responder la pregunta. Se utiliza net_sales como métrica principal de ventas (valor después de descuento), que es la medida más representativa del ingreso real. La pregunta es completamente respondible con los datos disponibles.</t>
        </is>
      </c>
      <c r="I28" s="11" t="inlineStr">
        <is>
          <t>SELECT
    p.product_name,
    p.brand,
    p.product_type,
    SUM(f.net_sales) AS total_net_sales,
    SUM(f.gross_sales) AS total_gross_sales,
    SUM(f.quantity) AS total_quantity
FROM brz_dev.default.fact_sales_demo_genie f
JOIN brz_dev.default.dim_product_demo_genie p
    ON f.product_id = p.product_id
GROUP BY
    p.product_name,
    p.brand,
    p.product_type
ORDER BY total_net_sales DESC
LIMIT 5;</t>
        </is>
      </c>
    </row>
    <row r="29">
      <c r="A29" s="8" t="n">
        <v>3</v>
      </c>
      <c r="B29" s="11" t="inlineStr">
        <is>
          <t>¿Cuántas unidades se vendieron por producto?</t>
        </is>
      </c>
      <c r="C29" s="11" t="inlineStr"/>
      <c r="D29" s="11" t="inlineStr">
        <is>
          <t>Las unidades vendidas por producto se obtienen sumando la columna 'quantity' de la tabla de hechos agrupada por producto. Por ejemplo, el Producto A vendió 1,200 unidades, el Producto B vendió 980 unidades, etc.</t>
        </is>
      </c>
      <c r="E29" s="8" t="inlineStr"/>
      <c r="F29" s="8" t="n">
        <v>10</v>
      </c>
      <c r="G29" s="7" t="inlineStr">
        <is>
          <t>YES</t>
        </is>
      </c>
      <c r="H29" s="11" t="inlineStr">
        <is>
          <t>La pregunta solicita la suma de unidades vendidas agrupadas por producto. La tabla de hechos 'fact_sales_demo_genie' contiene la columna 'quantity' (unidades vendidas) y la clave foránea 'product_id'. La dimensión 'dim_product_demo_genie' provee los atributos descriptivos del producto (nombre, marca, tipo). Un simple JOIN y un SUM(quantity) GROUP BY product_id/product_name es suficiente para responder la pregunta de forma completa y precisa.</t>
        </is>
      </c>
      <c r="I29" s="11" t="inlineStr">
        <is>
          <t>SELECT
    p.product_id,
    p.product_name,
    p.brand,
    p.product_type,
    SUM(f.quantity) AS total_units_sold
FROM
    brz_dev.default.fact_sales_demo_genie f
    JOIN brz_dev.default.dim_product_demo_genie p
        ON f.product_id = p.product_id
GROUP BY
    p.product_id,
    p.product_name,
    p.brand,
    p.product_type
ORDER BY
    total_units_sold DESC;</t>
        </is>
      </c>
    </row>
    <row r="30">
      <c r="A30" s="8" t="n">
        <v>4</v>
      </c>
      <c r="B30" s="11" t="inlineStr">
        <is>
          <t>¿Cuál es el descuento promedio por cliente?</t>
        </is>
      </c>
      <c r="C30" s="11" t="inlineStr"/>
      <c r="D30" s="11" t="inlineStr">
        <is>
          <t>El descuento promedio por cliente varía según cada uno. Por ejemplo, el cliente 'Empresa ABC' tiene un descuento promedio de $150.00 por línea de venta, mientras que 'Distribuidora XYZ' tiene un promedio de $85.50. La consulta devuelve el promedio del campo 'discount' agrupado por cada cliente.</t>
        </is>
      </c>
      <c r="E30" s="8" t="inlineStr"/>
      <c r="F30" s="8" t="n">
        <v>9</v>
      </c>
      <c r="G30" s="7" t="inlineStr">
        <is>
          <t>YES</t>
        </is>
      </c>
      <c r="H30" s="11" t="inlineStr">
        <is>
          <t>La pregunta solicita el descuento promedio por cliente. La tabla de hechos 'fact_sales_demo_genie' contiene la columna 'discount' (descuento aplicado a cada línea de venta) y 'customer_id' como llave foránea. La dimensión 'dim_customer_demo_genie' aporta el nombre del cliente. Con un simple JOIN y un AVG(discount) agrupado por customer_id y customer_name, la pregunta queda completamente respondida. No hay ambigüedad en la definición del descuento promedio ya que existe una columna explícita para ello.</t>
        </is>
      </c>
      <c r="I30" s="11" t="inlineStr">
        <is>
          <t>SELECT
    c.customer_id,
    c.customer_name,
    AVG(f.discount) AS avg_discount
FROM
    brz_dev.default.fact_sales_demo_genie f
    JOIN brz_dev.default.dim_customer_demo_genie c
        ON f.customer_id = c.customer_id
GROUP BY
    c.customer_id,
    c.customer_name
ORDER BY
    avg_discount DESC;</t>
        </is>
      </c>
    </row>
    <row r="31">
      <c r="A31" s="8" t="n">
        <v>5</v>
      </c>
      <c r="B31" s="11" t="inlineStr">
        <is>
          <t>¿Cuántas órdenes se realizaron en total?</t>
        </is>
      </c>
      <c r="C31" s="11" t="inlineStr"/>
      <c r="D31" s="11" t="inlineStr">
        <is>
          <t>El total de órdenes realizadas se obtiene contando los valores distintos de order_id en la tabla de hechos de ventas. Por ejemplo, si hubiera 1,500 órdenes únicas registradas, la respuesta sería: 'Se realizaron 1,500 órdenes en total.'</t>
        </is>
      </c>
      <c r="E31" s="8" t="inlineStr"/>
      <c r="F31" s="8" t="n">
        <v>10</v>
      </c>
      <c r="G31" s="7" t="inlineStr">
        <is>
          <t>YES</t>
        </is>
      </c>
      <c r="H31" s="11" t="inlineStr">
        <is>
          <t>La pregunta solicita el conteo total de órdenes. La tabla fact_sales_demo_genie contiene la columna order_id, que identifica cada orden. Dado que una orden puede tener múltiples líneas de producto (line_number), se debe usar COUNT(DISTINCT order_id) para evitar duplicados y obtener el número real de órdenes únicas. No se requieren joins adicionales ni información de otras tablas para responder esta pregunta.</t>
        </is>
      </c>
      <c r="I31" s="11" t="inlineStr">
        <is>
          <t>SELECT COUNT(DISTINCT order_id) AS total_orders
FROM brz_dev.default.fact_sales_demo_genie;</t>
        </is>
      </c>
    </row>
    <row r="32">
      <c r="A32" s="8" t="n">
        <v>6</v>
      </c>
      <c r="B32" s="11" t="inlineStr">
        <is>
          <t>¿Cuáles son los 10 clientes con mayores ventas brutas?</t>
        </is>
      </c>
      <c r="C32" s="11" t="inlineStr"/>
      <c r="D32" s="11" t="inlineStr">
        <is>
          <t>Los 10 clientes con mayores ventas brutas son aquellos cuya suma de gross_sales en la tabla de hechos es más alta. Por ejemplo, el cliente con mayor venta bruta podría ser 'Cliente A' con $X,XXX,XXX en ventas brutas, seguido de 'Cliente B', 'Cliente C', etc., hasta completar el top 10.</t>
        </is>
      </c>
      <c r="E32" s="8" t="inlineStr"/>
      <c r="F32" s="8" t="n">
        <v>10</v>
      </c>
      <c r="G32" s="7" t="inlineStr">
        <is>
          <t>YES</t>
        </is>
      </c>
      <c r="H32" s="11" t="inlineStr">
        <is>
          <t>La pregunta solicita los 10 clientes con mayores ventas brutas. La tabla fact_sales_demo_genie contiene la columna gross_sales y customer_id, lo que permite agregar las ventas brutas por cliente. La tabla dim_customer_demo_genie proporciona el nombre del cliente (customer_name) mediante un JOIN sobre customer_id. No existe ninguna ambigüedad: 'ventas brutas' mapea directamente a la columna gross_sales, y 'top 10' se resuelve con ORDER BY DESC + LIMIT 10. Todos los datos necesarios están disponibles.</t>
        </is>
      </c>
      <c r="I32" s="11" t="inlineStr">
        <is>
          <t>SELECT
    c.customer_id,
    c.customer_name,
    SUM(f.gross_sales) AS total_gross_sales
FROM
    brz_dev.default.fact_sales_demo_genie f
    INNER JOIN brz_dev.default.dim_customer_demo_genie c
        ON f.customer_id = c.customer_id
GROUP BY
    c.customer_id,
    c.customer_name
ORDER BY
    total_gross_sales DESC
LIMIT 10;</t>
        </is>
      </c>
    </row>
    <row r="33">
      <c r="A33" s="8" t="n">
        <v>7</v>
      </c>
      <c r="B33" s="11" t="inlineStr">
        <is>
          <t>¿Cuál es la diferencia entre ventas brutas y ventas netas por año?</t>
        </is>
      </c>
      <c r="C33" s="11" t="inlineStr"/>
      <c r="D33" s="11" t="inlineStr">
        <is>
          <t>La diferencia entre ventas brutas y ventas netas por año corresponde al total de descuentos aplicados en cada período. Por ejemplo, en 2023 las ventas brutas podrían ser $10,000,000, las ventas netas $9,200,000 y la diferencia (descuentos totales) $800,000. Esta diferencia equivale directamente a la suma de la columna 'discount' agrupada por año.</t>
        </is>
      </c>
      <c r="E33" s="8" t="inlineStr"/>
      <c r="F33" s="8" t="n">
        <v>10</v>
      </c>
      <c r="G33" s="7" t="inlineStr">
        <is>
          <t>YES</t>
        </is>
      </c>
      <c r="H33" s="11" t="inlineStr">
        <is>
          <t>La pregunta solicita la diferencia entre ventas brutas (gross_sales) y ventas netas (net_sales) agrupada por año. Ambas métricas existen directamente en la tabla de hechos 'fact_sales_demo_genie'. El año se obtiene uniendo con 'dim_date_demo_genie' a través de la clave 'date_id'. No hay ambigüedad: la diferencia es una resta aritmética estándar (gross_sales - net_sales), que además coincide con la columna 'discount'. La consulta es completamente derivable con los datos disponibles.</t>
        </is>
      </c>
      <c r="I33" s="11" t="inlineStr">
        <is>
          <t>SELECT
    d.year,
    SUM(f.gross_sales)                        AS total_gross_sales,
    SUM(f.net_sales)                          AS total_net_sales,
    SUM(f.gross_sales) - SUM(f.net_sales)     AS difference_gross_vs_net,
    SUM(f.discount)                           AS total_discount
FROM brz_dev.default.fact_sales_demo_genie f
JOIN brz_dev.default.dim_date_demo_genie d
    ON f.date_id = d.date_id
GROUP BY
    d.year
ORDER BY
    d.year;</t>
        </is>
      </c>
    </row>
    <row r="34">
      <c r="A34" s="8" t="n">
        <v>8</v>
      </c>
      <c r="B34" s="11" t="inlineStr">
        <is>
          <t>¿Cuántas unidades se vendieron por mes en el último año?</t>
        </is>
      </c>
      <c r="C34" s="11" t="inlineStr"/>
      <c r="D34" s="11" t="inlineStr">
        <is>
          <t>En el último año (2024, por ejemplo), las unidades vendidas por mes fueron: Enero: 12,500, Febrero: 11,800, Marzo: 13,200, Abril: 14,000, Mayo: 13,750, Junio: 15,100, Julio: 14,300, Agosto: 13,900, Septiembre: 12,600, Octubre: 14,800, Noviembre: 16,200, Diciembre: 17,500. (Valores hipotéticos ilustrativos.)</t>
        </is>
      </c>
      <c r="E34" s="8" t="inlineStr"/>
      <c r="F34" s="8" t="n">
        <v>9</v>
      </c>
      <c r="G34" s="7" t="inlineStr">
        <is>
          <t>YES</t>
        </is>
      </c>
      <c r="H34" s="11" t="inlineStr">
        <is>
          <t>La pregunta solicita el total de unidades vendidas (quantity) agrupadas por mes, restringidas al último año disponible. La tabla de hechos 'fact_sales_demo_genie' contiene la columna 'quantity' (unidades vendidas) y 'date_id' como llave foránea hacia la dimensión de fechas. La tabla 'dim_date_demo_genie' provee las columnas 'year', 'month' y 'month_name' necesarias para la agrupación mensual. El 'último año' se puede derivar dinámicamente usando MAX(year) sobre la dimensión de fechas, lo cual es una derivación SQL estándar. No hay ambigüedad en la pregunta ni datos faltantes.</t>
        </is>
      </c>
      <c r="I34" s="11" t="inlineStr">
        <is>
          <t>SELECT
    d.year,
    d.month,
    d.month_name,
    SUM(f.quantity) AS total_units_sold
FROM
    brz_dev.default.fact_sales_demo_genie f
    JOIN brz_dev.default.dim_date_demo_genie d
        ON f.date_id = d.date_id
WHERE
    d.year = (
        SELECT MAX(year)
        FROM brz_dev.default.dim_date_demo_genie
    )
GROUP BY
    d.year,
    d.month,
    d.month_name
ORDER BY
    d.month ASC;</t>
        </is>
      </c>
    </row>
    <row r="35">
      <c r="A35" s="8" t="n">
        <v>9</v>
      </c>
      <c r="B35" s="11" t="inlineStr">
        <is>
          <t>¿Qué productos tienen un descuento promedio mayor al 10%?</t>
        </is>
      </c>
      <c r="C35" s="11" t="inlineStr"/>
      <c r="D35" s="11" t="inlineStr">
        <is>
          <t>Los productos con un descuento promedio mayor al 10% son aquellos cuyo promedio de la columna 'discount' en la tabla de hechos supera el 10% del valor bruto de venta (gross_sales). Por ejemplo, podrían ser productos como 'Producto A' con un descuento promedio del 12%, 'Producto B' con 15%, etc. La consulta calculará AVG(discount/gross_sales) por producto y filtrará los que superen el 10%.</t>
        </is>
      </c>
      <c r="E35" s="8" t="inlineStr"/>
      <c r="F35" s="8" t="n">
        <v>9</v>
      </c>
      <c r="G35" s="7" t="inlineStr">
        <is>
          <t>YES</t>
        </is>
      </c>
      <c r="H35" s="11" t="inlineStr">
        <is>
          <t>La pregunta solicita productos cuyo descuento promedio supere el 10%. La tabla fact_sales_demo_genie contiene las columnas 'discount' y 'gross_sales', lo que permite calcular el porcentaje de descuento como (discount / gross_sales) * 100. Uniendo con dim_product_demo_genie se obtiene el nombre y características del producto. La condición HAVING filtra aquellos con promedio mayor al 10%. La única consideración es que 'descuento promedio mayor al 10%' se interpreta como el porcentaje del descuento respecto al valor bruto, lo cual es la interpretación estándar de negocio y es completamente derivable con SQL estándar.</t>
        </is>
      </c>
      <c r="I35" s="11" t="inlineStr">
        <is>
          <t>SELECT
    p.product_id,
    p.product_name,
    p.brand,
    p.product_type,
    p.manufacturer,
    ROUND(AVG(f.discount / NULLIF(f.gross_sales, 0)) * 100, 2) AS avg_discount_pct
FROM
    brz_dev.default.fact_sales_demo_genie f
    JOIN brz_dev.default.dim_product_demo_genie p
        ON f.product_id = p.product_id
WHERE
    f.gross_sales &gt; 0
GROUP BY
    p.product_id,
    p.product_name,
    p.brand,
    p.product_type,
    p.manufacturer
HAVING
    AVG(f.discount / NULLIF(f.gross_sales, 0)) * 100 &gt; 10
ORDER BY
    avg_discount_pct DESC;</t>
        </is>
      </c>
    </row>
    <row r="36">
      <c r="A36" s="8" t="n">
        <v>10</v>
      </c>
      <c r="B36" s="11" t="inlineStr">
        <is>
          <t>¿Cuál es el ingreso neto promedio por orden?</t>
        </is>
      </c>
      <c r="C36" s="11" t="inlineStr"/>
      <c r="D36" s="11" t="inlineStr">
        <is>
          <t>El ingreso neto promedio por orden es el resultado de dividir la suma total de net_sales entre el número de órdenes únicas (order_id). Por ejemplo, si la suma total de net_sales es $10,000,000 y existen 500 órdenes únicas, el ingreso neto promedio por orden sería de $20,000.</t>
        </is>
      </c>
      <c r="E36" s="8" t="inlineStr"/>
      <c r="F36" s="8" t="n">
        <v>10</v>
      </c>
      <c r="G36" s="7" t="inlineStr">
        <is>
          <t>YES</t>
        </is>
      </c>
      <c r="H36" s="11" t="inlineStr">
        <is>
          <t>La pregunta solicita el ingreso neto promedio por orden. La tabla fact_sales_demo_genie contiene tanto 'net_sales' (valor neto de la venta) como 'order_id' (identificador de la orden). Dado que una orden puede tener múltiples líneas de producto, el ingreso neto por orden se calcula sumando el net_sales de todas las líneas de una misma orden y luego promediando entre todas las órdenes únicas. Esto se logra dividiendo la suma total de net_sales entre el conteo de order_id distintos. No se requieren joins adicionales ni existe ambigüedad en la definición del denominador (orden = order_id único).</t>
        </is>
      </c>
      <c r="I36" s="11" t="inlineStr">
        <is>
          <t>SELECT
  SUM(net_sales) / COUNT(DISTINCT order_id) AS avg_net_sales_per_order
FROM
  brz_dev.default.fact_sales_demo_genie;</t>
        </is>
      </c>
    </row>
    <row r="37">
      <c r="A37" s="12" t="inlineStr">
        <is>
          <t>Layer 2 Rollup</t>
        </is>
      </c>
      <c r="B37" s="13">
        <f>IFERROR(COUNTIF(E27:E36, "YES")/COUNTA(E27:E36), 0)</f>
        <v/>
      </c>
      <c r="C37" s="11" t="inlineStr">
        <is>
          <t>% of tested questions with Match = YES (informational — not blended into Layer 1's gate)</t>
        </is>
      </c>
      <c r="D37" s="11" t="inlineStr"/>
      <c r="E37" s="8" t="inlineStr"/>
      <c r="F37" s="8" t="inlineStr"/>
      <c r="G37" s="8" t="inlineStr"/>
      <c r="H37" s="11" t="inlineStr"/>
      <c r="I37" s="11" t="inlineStr"/>
    </row>
    <row r="39">
      <c r="A39" s="3" t="inlineStr">
        <is>
          <t>LAYER 3 — QUERY LIBRARY READINESS (auto-scanned)</t>
        </is>
      </c>
      <c r="B39" s="3" t="n"/>
      <c r="C39" s="3" t="n"/>
      <c r="D39" s="3" t="n"/>
      <c r="E39" s="3" t="n"/>
      <c r="F39" s="3" t="n"/>
      <c r="G39" s="3" t="n"/>
      <c r="H39" s="3" t="n"/>
      <c r="I39" s="3" t="n"/>
    </row>
    <row r="40">
      <c r="A40" s="6" t="inlineStr">
        <is>
          <t>Query / View Name</t>
        </is>
      </c>
      <c r="B40" s="6" t="inlineStr">
        <is>
          <t>Classification</t>
        </is>
      </c>
      <c r="C40" s="6" t="inlineStr">
        <is>
          <t>Confidence (1–10)</t>
        </is>
      </c>
      <c r="D40" s="6" t="inlineStr">
        <is>
          <t>Maps to Q#</t>
        </is>
      </c>
      <c r="E40" s="6" t="inlineStr">
        <is>
          <t>Key Issues</t>
        </is>
      </c>
      <c r="F40" s="6" t="inlineStr">
        <is>
          <t>Cleanup Needed?</t>
        </is>
      </c>
      <c r="G40" s="6" t="n"/>
      <c r="H40" s="6" t="n"/>
      <c r="I40" s="6" t="n"/>
    </row>
    <row r="41">
      <c r="A41" s="14" t="inlineStr">
        <is>
          <t>Layer 3 Rollup</t>
        </is>
      </c>
      <c r="B41" s="13" t="inlineStr">
        <is>
          <t>0</t>
        </is>
      </c>
      <c r="C41" s="11" t="inlineStr">
        <is>
          <t>% of scanned queries that are GOOD_CANDIDATE (informational)</t>
        </is>
      </c>
      <c r="D41" s="11" t="inlineStr"/>
      <c r="E41" s="11" t="inlineStr"/>
      <c r="F41" s="11" t="inlineStr"/>
    </row>
    <row r="43">
      <c r="A43" s="3" t="inlineStr">
        <is>
          <t>LAYER 4 — TOP USE CASES &amp; VALUE (manual, scored at the workshop)</t>
        </is>
      </c>
      <c r="B43" s="3" t="n"/>
      <c r="C43" s="3" t="n"/>
      <c r="D43" s="3" t="n"/>
      <c r="E43" s="3" t="n"/>
      <c r="F43" s="3" t="n"/>
      <c r="G43" s="3" t="n"/>
      <c r="H43" s="3" t="n"/>
      <c r="I43" s="3" t="n"/>
      <c r="J43" s="3" t="n"/>
      <c r="K43" s="3" t="n"/>
    </row>
    <row r="44">
      <c r="A44" s="6" t="inlineStr">
        <is>
          <t>Q#</t>
        </is>
      </c>
      <c r="B44" s="6" t="inlineStr">
        <is>
          <t>Business Question</t>
        </is>
      </c>
      <c r="C44" s="6" t="inlineStr">
        <is>
          <t>Data Exists &amp; in UC (1–3)</t>
        </is>
      </c>
      <c r="D44" s="6" t="inlineStr">
        <is>
          <t>Question Clearly Defined (1–3)</t>
        </is>
      </c>
      <c r="E44" s="6" t="inlineStr">
        <is>
          <t>Acceptance Criteria Written (1–3)</t>
        </is>
      </c>
      <c r="F44" s="6" t="inlineStr">
        <is>
          <t>Business Owner Available (1–3)</t>
        </is>
      </c>
      <c r="G44" s="6" t="inlineStr">
        <is>
          <t>SQL Deterministic (1–3)</t>
        </is>
      </c>
      <c r="H44" s="6" t="inlineStr">
        <is>
          <t>Est. Business Impact (1–3)</t>
        </is>
      </c>
      <c r="I44" s="6" t="inlineStr">
        <is>
          <t>Total (/18)</t>
        </is>
      </c>
      <c r="J44" s="6" t="inlineStr">
        <is>
          <t>Decision</t>
        </is>
      </c>
      <c r="K44" s="6" t="inlineStr">
        <is>
          <t>Value / Workforce Impact Notes (manual)</t>
        </is>
      </c>
    </row>
    <row r="45">
      <c r="A45" s="8" t="n">
        <v>1</v>
      </c>
      <c r="B45" s="11" t="inlineStr">
        <is>
          <t>¿Cuáles fueron las ventas netas por año?</t>
        </is>
      </c>
      <c r="C45" s="8" t="n">
        <v>3</v>
      </c>
      <c r="D45" s="8" t="inlineStr"/>
      <c r="E45" s="8" t="inlineStr"/>
      <c r="F45" s="8" t="inlineStr"/>
      <c r="G45" s="8" t="inlineStr"/>
      <c r="H45" s="8" t="inlineStr"/>
      <c r="I45" s="8">
        <f>SUM(C45:H45)</f>
        <v/>
      </c>
      <c r="J45" s="8" t="inlineStr"/>
      <c r="K45" s="11" t="inlineStr"/>
    </row>
    <row r="46">
      <c r="A46" s="8" t="n">
        <v>2</v>
      </c>
      <c r="B46" s="11" t="inlineStr">
        <is>
          <t>¿Cuál es el top 5 de productos con mayores ventas?</t>
        </is>
      </c>
      <c r="C46" s="8" t="n">
        <v>3</v>
      </c>
      <c r="D46" s="8" t="inlineStr"/>
      <c r="E46" s="8" t="inlineStr"/>
      <c r="F46" s="8" t="inlineStr"/>
      <c r="G46" s="8" t="inlineStr"/>
      <c r="H46" s="8" t="inlineStr"/>
      <c r="I46" s="8">
        <f>SUM(C46:H46)</f>
        <v/>
      </c>
      <c r="J46" s="8" t="inlineStr"/>
      <c r="K46" s="11" t="inlineStr"/>
    </row>
    <row r="47">
      <c r="A47" s="8" t="n">
        <v>3</v>
      </c>
      <c r="B47" s="11" t="inlineStr">
        <is>
          <t>¿Cuántas unidades se vendieron por producto?</t>
        </is>
      </c>
      <c r="C47" s="8" t="n">
        <v>3</v>
      </c>
      <c r="D47" s="8" t="inlineStr"/>
      <c r="E47" s="8" t="inlineStr"/>
      <c r="F47" s="8" t="inlineStr"/>
      <c r="G47" s="8" t="inlineStr"/>
      <c r="H47" s="8" t="inlineStr"/>
      <c r="I47" s="8">
        <f>SUM(C47:H47)</f>
        <v/>
      </c>
      <c r="J47" s="8" t="inlineStr"/>
      <c r="K47" s="11" t="inlineStr"/>
    </row>
    <row r="48">
      <c r="A48" s="8" t="n">
        <v>4</v>
      </c>
      <c r="B48" s="11" t="inlineStr">
        <is>
          <t>¿Cuál es el descuento promedio por cliente?</t>
        </is>
      </c>
      <c r="C48" s="8" t="n">
        <v>3</v>
      </c>
      <c r="D48" s="8" t="inlineStr"/>
      <c r="E48" s="8" t="inlineStr"/>
      <c r="F48" s="8" t="inlineStr"/>
      <c r="G48" s="8" t="inlineStr"/>
      <c r="H48" s="8" t="inlineStr"/>
      <c r="I48" s="8">
        <f>SUM(C48:H48)</f>
        <v/>
      </c>
      <c r="J48" s="8" t="inlineStr"/>
      <c r="K48" s="11" t="inlineStr"/>
    </row>
    <row r="49">
      <c r="A49" s="8" t="n">
        <v>5</v>
      </c>
      <c r="B49" s="11" t="inlineStr">
        <is>
          <t>¿Cuántas órdenes se realizaron en total?</t>
        </is>
      </c>
      <c r="C49" s="8" t="n">
        <v>3</v>
      </c>
      <c r="D49" s="8" t="inlineStr"/>
      <c r="E49" s="8" t="inlineStr"/>
      <c r="F49" s="8" t="inlineStr"/>
      <c r="G49" s="8" t="inlineStr"/>
      <c r="H49" s="8" t="inlineStr"/>
      <c r="I49" s="8">
        <f>SUM(C49:H49)</f>
        <v/>
      </c>
      <c r="J49" s="8" t="inlineStr"/>
      <c r="K49" s="11" t="inlineStr"/>
    </row>
    <row r="50">
      <c r="A50" s="8" t="n">
        <v>6</v>
      </c>
      <c r="B50" s="11" t="inlineStr">
        <is>
          <t>¿Cuáles son los 10 clientes con mayores ventas brutas?</t>
        </is>
      </c>
      <c r="C50" s="8" t="n">
        <v>3</v>
      </c>
      <c r="D50" s="8" t="inlineStr"/>
      <c r="E50" s="8" t="inlineStr"/>
      <c r="F50" s="8" t="inlineStr"/>
      <c r="G50" s="8" t="inlineStr"/>
      <c r="H50" s="8" t="inlineStr"/>
      <c r="I50" s="8">
        <f>SUM(C50:H50)</f>
        <v/>
      </c>
      <c r="J50" s="8" t="inlineStr"/>
      <c r="K50" s="11" t="inlineStr"/>
    </row>
    <row r="51">
      <c r="A51" s="8" t="n">
        <v>7</v>
      </c>
      <c r="B51" s="11" t="inlineStr">
        <is>
          <t>¿Cuál es la diferencia entre ventas brutas y ventas netas por año?</t>
        </is>
      </c>
      <c r="C51" s="8" t="n">
        <v>3</v>
      </c>
      <c r="D51" s="8" t="inlineStr"/>
      <c r="E51" s="8" t="inlineStr"/>
      <c r="F51" s="8" t="inlineStr"/>
      <c r="G51" s="8" t="inlineStr"/>
      <c r="H51" s="8" t="inlineStr"/>
      <c r="I51" s="8">
        <f>SUM(C51:H51)</f>
        <v/>
      </c>
      <c r="J51" s="8" t="inlineStr"/>
      <c r="K51" s="11" t="inlineStr"/>
    </row>
    <row r="52">
      <c r="A52" s="8" t="n">
        <v>8</v>
      </c>
      <c r="B52" s="11" t="inlineStr">
        <is>
          <t>¿Cuántas unidades se vendieron por mes en el último año?</t>
        </is>
      </c>
      <c r="C52" s="8" t="n">
        <v>3</v>
      </c>
      <c r="D52" s="8" t="inlineStr"/>
      <c r="E52" s="8" t="inlineStr"/>
      <c r="F52" s="8" t="inlineStr"/>
      <c r="G52" s="8" t="inlineStr"/>
      <c r="H52" s="8" t="inlineStr"/>
      <c r="I52" s="8">
        <f>SUM(C52:H52)</f>
        <v/>
      </c>
      <c r="J52" s="8" t="inlineStr"/>
      <c r="K52" s="11" t="inlineStr"/>
    </row>
    <row r="53">
      <c r="A53" s="8" t="n">
        <v>9</v>
      </c>
      <c r="B53" s="11" t="inlineStr">
        <is>
          <t>¿Qué productos tienen un descuento promedio mayor al 10%?</t>
        </is>
      </c>
      <c r="C53" s="8" t="n">
        <v>3</v>
      </c>
      <c r="D53" s="8" t="inlineStr"/>
      <c r="E53" s="8" t="inlineStr"/>
      <c r="F53" s="8" t="inlineStr"/>
      <c r="G53" s="8" t="inlineStr"/>
      <c r="H53" s="8" t="inlineStr"/>
      <c r="I53" s="8">
        <f>SUM(C53:H53)</f>
        <v/>
      </c>
      <c r="J53" s="8" t="inlineStr"/>
      <c r="K53" s="11" t="inlineStr"/>
    </row>
    <row r="54">
      <c r="A54" s="8" t="n">
        <v>10</v>
      </c>
      <c r="B54" s="11" t="inlineStr">
        <is>
          <t>¿Cuál es el ingreso neto promedio por orden?</t>
        </is>
      </c>
      <c r="C54" s="8" t="n">
        <v>3</v>
      </c>
      <c r="D54" s="8" t="inlineStr"/>
      <c r="E54" s="8" t="inlineStr"/>
      <c r="F54" s="8" t="inlineStr"/>
      <c r="G54" s="8" t="inlineStr"/>
      <c r="H54" s="8" t="inlineStr"/>
      <c r="I54" s="8">
        <f>SUM(C54:H54)</f>
        <v/>
      </c>
      <c r="J54" s="8" t="inlineStr"/>
      <c r="K54" s="11" t="inlineStr"/>
    </row>
  </sheetData>
  <conditionalFormatting sqref="B37">
    <cfRule type="cellIs" priority="1" operator="greaterThanOrEqual" dxfId="0">
      <formula>0.8</formula>
    </cfRule>
    <cfRule type="cellIs" priority="2" operator="between" dxfId="1">
      <formula>0.5</formula>
      <formula>0.799</formula>
    </cfRule>
    <cfRule type="cellIs" priority="3" operator="lessThan" dxfId="2">
      <formula>0.5</formula>
    </cfRule>
  </conditionalFormatting>
  <conditionalFormatting sqref="B41">
    <cfRule type="cellIs" priority="4" operator="greaterThanOrEqual" dxfId="0">
      <formula>0.8</formula>
    </cfRule>
    <cfRule type="cellIs" priority="5" operator="between" dxfId="1">
      <formula>0.5</formula>
      <formula>0.799</formula>
    </cfRule>
    <cfRule type="cellIs" priority="6" operator="lessThan" dxfId="2">
      <formula>0.5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2026-08-20T16:29:12Z</dcterms:created>
  <dcterms:modified xsi:type="dcterms:W3CDTF">2026-08-20T16:29:12Z</dcterms:modified>
</cp:coreProperties>
</file>